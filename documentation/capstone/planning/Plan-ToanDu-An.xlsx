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 map" state="visible" r:id="rId4"/>
    <sheet sheetId="2" name="Task List" state="visible" r:id="rId5"/>
    <sheet sheetId="3" name="TV" state="visible" r:id="rId6"/>
    <sheet sheetId="4" name="Phases &amp; Gates" state="visible" r:id="rId7"/>
    <sheet sheetId="5" name="FE Ownership" state="visible" r:id="rId8"/>
  </sheets>
  <calcPr calcId="171027"/>
</workbook>
</file>

<file path=xl/sharedStrings.xml><?xml version="1.0" encoding="utf-8"?>
<sst xmlns="http://schemas.openxmlformats.org/spreadsheetml/2006/main" count="724" uniqueCount="374">
  <si>
    <t>F</t>
  </si>
  <si>
    <t>Function</t>
  </si>
  <si>
    <t>Scope (module BE + folder FE)</t>
  </si>
  <si>
    <t>Ghề đề xuất (hồ sơ kỹ năng — TỰ PICK, không gán tên)</t>
  </si>
  <si>
    <t>Task</t>
  </si>
  <si>
    <t>Σ ngày</t>
  </si>
  <si>
    <t>F1</t>
  </si>
  <si>
    <t>Danh tính, phân quyền &amp; audit</t>
  </si>
  <si>
    <t>Customer/auth + shared middleware · features/auth,account,admin/Users</t>
  </si>
  <si>
    <t>Ghế Nhà máy (sysadmin tính)</t>
  </si>
  <si>
    <t>F2</t>
  </si>
  <si>
    <t>Danh mục &amp; cấu hình chính sách</t>
  </si>
  <si>
    <t>modules/Admin (hiện rỗng) · features/admin</t>
  </si>
  <si>
    <t>Ghế Nhà máy</t>
  </si>
  <si>
    <t>F3</t>
  </si>
  <si>
    <t>Engine lõi: estimate–price–filter–score–assign–repair–log</t>
  </si>
  <si>
    <t>modules/Scheduling · features/quotes,ops</t>
  </si>
  <si>
    <t>Ghế Engine — KÈM F9, không chia đôi</t>
  </si>
  <si>
    <t>F4</t>
  </si>
  <si>
    <t>Sản xuất &amp; kho Lab</t>
  </si>
  <si>
    <t>modules/Lab (rỗng→migrate code từ Scheduling sang dần) · features/lab</t>
  </si>
  <si>
    <t>Ghế Xưởng (cầu nối lab đối tác)</t>
  </si>
  <si>
    <t>F5</t>
  </si>
  <si>
    <t>Chất lượng &amp; hoàn tất (hub)</t>
  </si>
  <si>
    <t>modules/Hub (rỗng) · features/hub</t>
  </si>
  <si>
    <t>Ghế Nhà máy → nhường Ghế Xưởng nếu nghẽn sau G-A</t>
  </si>
  <si>
    <t>F6</t>
  </si>
  <si>
    <t>Đơn hàng &amp; dòng tiền (SEPay)</t>
  </si>
  <si>
    <t>modules/Customer payments · features/checkout,ops/Refunds</t>
  </si>
  <si>
    <t>Ghế Tiền &amp; Khách (integration webhook)</t>
  </si>
  <si>
    <t>F7</t>
  </si>
  <si>
    <t>Cam kết &amp; thông báo</t>
  </si>
  <si>
    <t>shared NotificationService + SignalR publisher · features/tracking,notifications,reprint</t>
  </si>
  <si>
    <t>Ghế Tiền &amp; Khách</t>
  </si>
  <si>
    <t>F8</t>
  </si>
  <si>
    <t>Nền tảng (contract, seed, tests, staging)</t>
  </si>
  <si>
    <t>Api + Infrastructure.Shared + tests/ · —</t>
  </si>
  <si>
    <t>F9</t>
  </si>
  <si>
    <t>NGHIÊN CỨU: simulator + evaluation + calibration</t>
  </si>
  <si>
    <t>tools/Simulator + tests · —</t>
  </si>
  <si>
    <t>Ghế Engine (sau gate G-A)</t>
  </si>
  <si>
    <t>F10</t>
  </si>
  <si>
    <t>Hồ sơ: state tables, ERD, phiếu, SRS/SDD, slides</t>
  </si>
  <si>
    <t>documentation/ · —</t>
  </si>
  <si>
    <t>Mỗi ghế tự phần của mình + Nhóm trưởng</t>
  </si>
  <si>
    <t>HIỆN TRẠNG (audit 25/09)</t>
  </si>
  <si>
    <t>0/43 FR ĐỦ · 18 MỘT PHẦN · 25 CHƯA CÓ — nguồn chân lý: plan file spicy-nibbling-quiche.md</t>
  </si>
  <si>
    <t/>
  </si>
  <si>
    <t>STT</t>
  </si>
  <si>
    <t>CỤ THỂ (endpoint / bảng / file / job)</t>
  </si>
  <si>
    <t>Trace (FR/BR/NFR)</t>
  </si>
  <si>
    <t>Loại</t>
  </si>
  <si>
    <t>Phase</t>
  </si>
  <si>
    <t>Tuần</t>
  </si>
  <si>
    <t>ƯL</t>
  </si>
  <si>
    <t>Ưu tiên</t>
  </si>
  <si>
    <t>Chủ trì (▼)</t>
  </si>
  <si>
    <t>Tình trạng (▼)</t>
  </si>
  <si>
    <t>Definition of Done</t>
  </si>
  <si>
    <t>Ghi chú</t>
  </si>
  <si>
    <t>Họp D0: khóa API contract + quy ước repo</t>
  </si>
  <si>
    <t xml:space="preserve">• contracts/openapi.yaml: DTO Order/Quote/Job/Slot + event tên
• FE: thống nhất features/&lt;F#&gt;/
• CI: build+test mỗi PR</t>
  </si>
  <si>
    <t>nền mọi FR</t>
  </si>
  <si>
    <t>🆕</t>
  </si>
  <si>
    <t>Must</t>
  </si>
  <si>
    <t>Chưa làm</t>
  </si>
  <si>
    <t>4 máy pull chạy; sửa schema phải sửa openapi trước</t>
  </si>
  <si>
    <t>Seed dựng lại theo schema mới</t>
  </si>
  <si>
    <t xml:space="preserve">• users/roles DB, stock, 1 lab "doi-tac" + machines spec THẬT của lab đối tác
• script demo-reset</t>
  </si>
  <si>
    <t>—</t>
  </si>
  <si>
    <t>🔌</t>
  </si>
  <si>
    <t>1 lệnh reset; data demo không còn là chỗ dựa cho flow thật</t>
  </si>
  <si>
    <t>Bảng chuyển trạng thái Job/Order/Quote (B9)</t>
  </si>
  <si>
    <t>• state table + diagram vào 16/design; encode enum + guard trong Order.cs/Job.cs</t>
  </si>
  <si>
    <t>B9 nợ · BR-SCHED-007</t>
  </si>
  <si>
    <t>mọi transition sau này code theo bảng này, không enum trôi nổi</t>
  </si>
  <si>
    <t>làm TRƯỚC khi code F5 progression</t>
  </si>
  <si>
    <t>Integration test host</t>
  </si>
  <si>
    <t xml:space="preserve">• Testcontainers Postgres + WebApplicationFactory — file test ĐẦU TIÊN (repo đang 0)
• ca: golden path + race placement</t>
  </si>
  <si>
    <t>NFR-REL-004 · top-10 #10</t>
  </si>
  <si>
    <t>`dotnet test` xanh là bằng chứng, không phải mắt thấy</t>
  </si>
  <si>
    <t>Users/Roles DB thay DemoRoles</t>
  </si>
  <si>
    <t xml:space="preserve">• bảng user_roles; claim JWT từ DB; seed 6 role; bỏ hardcode email lab@/qc@/ops@
• migration + backfill</t>
  </si>
  <si>
    <t>CUST-001 · ADMIN-001 · BR-ACCESS-005</t>
  </si>
  <si>
    <t>tạo user role Lab qua DB → login có claim thật</t>
  </si>
  <si>
    <t>Email verification</t>
  </si>
  <si>
    <t xml:space="preserve">• flag Verified + token qua NotificationService (phối hợp F7)
• chặn PlaceOrder khi chưa verify</t>
  </si>
  <si>
    <t>CUST-001</t>
  </si>
  <si>
    <t>đăng ký không verify → không checkout được</t>
  </si>
  <si>
    <t>Address CRUD</t>
  </si>
  <si>
    <t>• bảng addresses; default; chặn xóa khi còn đơn chưa giao (409)</t>
  </si>
  <si>
    <t>CUST-001 · UC-026</t>
  </si>
  <si>
    <t>FE checkout chọn address thay gõ tay</t>
  </si>
  <si>
    <t>Audit log append-only</t>
  </si>
  <si>
    <t>• middleware: actor/action/entity/before/after jsonb; bảng audit_logs; API GET phân quyền admin; KHÔNG có update/delete</t>
  </si>
  <si>
    <t>ADMIN-004 · BR-CONFIG-002/004</t>
  </si>
  <si>
    <t>mỗi override/config đổi có dấu vết; grep audit_log không API sửa</t>
  </si>
  <si>
    <t>RBAC mọi controller + scope lab</t>
  </si>
  <si>
    <t>• policy theo 6 role; GetJobsQuery scope lab-of-user (đang để lộ hết); ma trận test 6×endpoints</t>
  </si>
  <si>
    <t>ACCESS-002 · top-10 #8</t>
  </si>
  <si>
    <t>Lab A gọi API job Lab B ⇒ 403</t>
  </si>
  <si>
    <t>Profile khách + quota storage</t>
  </si>
  <si>
    <t>• PATCH profile; quota per account khi upload (BR-ACCESS-006)</t>
  </si>
  <si>
    <t>CUST-002 · ACCESS-006</t>
  </si>
  <si>
    <t>Should</t>
  </si>
  <si>
    <t>vượt quota ⇒ 409 kèm hướng dẫn</t>
  </si>
  <si>
    <t>Màn Admin user/role</t>
  </si>
  <si>
    <t>• features/admin/Users.tsx + API status/role</t>
  </si>
  <si>
    <t>ADMIN-001 · UC-022</t>
  </si>
  <si>
    <t>mở rộng tự không cần DBA</t>
  </si>
  <si>
    <t>NỐI parser STL/OBJ đã viết vào pipeline</t>
  </si>
  <si>
    <t xml:space="preserve">• AnalyzeModelJob: tải bytes từ MinIO theo StorageKey → StlMeshParser.AnalyzeAsync (đã tồn tại, chưa được gọi!) + watertight/manifold
• gate oversize trong CreateQuote validator</t>
  </si>
  <si>
    <t>SCHED-001 · CUST-004 · BR-QUOTE-006</t>
  </si>
  <si>
    <t>upload STL thật ⇒ bbox/volume là số hình học, không phải từ sizeBytes</t>
  </si>
  <si>
    <t>Slicing heuristic từ số phân tích</t>
  </si>
  <si>
    <t>• PrintSlicingService nhận MeshAnalysis thay metadata mock; async qua Hangfire; raw+calibrated fields</t>
  </si>
  <si>
    <t>SCHED-002 · NFR-PERF-001</t>
  </si>
  <si>
    <t>est time đổi khi đổi layer/infill trên CÙNG model</t>
  </si>
  <si>
    <t>BRIDGE: mark-paid API (tạm thời thay payment)</t>
  </si>
  <si>
    <t xml:space="preserve">• POST /api/orders/{id}/mark-paid (ops/admin, reason bắt buộc, audit) → Order.ConfirmPayment(txnId nội bộ) + event như webhook
• ĐÁO BỎ khi SEPay tuần 7 — không cho FE khách tự đánh dấu</t>
  </si>
  <si>
    <t>thay CUST-008 cho G-A · BR-CONFIG-002</t>
  </si>
  <si>
    <t>chuỗi vàng chạy端到 đầu không cần gateway; mọi mark-paid có dấu vết</t>
  </si>
  <si>
    <t>quyết định 25/09: payment để sau</t>
  </si>
  <si>
    <t>SEPay: QR checkout + webhook + confirm (DỜI TUẦN 7)</t>
  </si>
  <si>
    <t xml:space="preserve">• POST /api/checkout →SEPay create ⇒ QR (hết hạn = quote expiry)
• webhook: log + PENDING; GỌI API xác nhận giao dịch (đủ tiền+nd) ⇒ mới Order.ConfirmPayment + event
• idempotent txnId; return URL chỉ điều hướng, không phải bằng chứng
• DB payments(txn unique, token — KHÔNG lưu thẻ); xóa bridge mark-paid</t>
  </si>
  <si>
    <t>CUST-008 · BR-PAY-001/005 · NFR-SEC-009</t>
  </si>
  <si>
    <t>sandbox txn chạy đầu-cuối; fake webhook ⇒ không commit</t>
  </si>
  <si>
    <t>xin app/secret SEPay TRƯỚC tuần 7 — decision 25/09: payment để sau</t>
  </si>
  <si>
    <t>Pricing engine về SCHED + version freeze</t>
  </si>
  <si>
    <t>• PricingService đọc config_pricing_versions (từ F2); quote.config_version_id; test tái lập quote cũ sau đổi giá</t>
  </si>
  <si>
    <t>SCHED-010 · BR-QUOTE-001..004</t>
  </si>
  <si>
    <t>QuotePricing.cs (Customer, hằng số) bị thay hẳn</t>
  </si>
  <si>
    <t>Speculative quote-time placement</t>
  </si>
  <si>
    <t>• CreateQuote chạy MachineTimelineService ở chế độ trial (không persist slot) ⇒ promised date THAY +3 ngày + surcharge urgency</t>
  </si>
  <si>
    <t>SCHED-005 · BR-QUOTE-002 · NFR-PERF-001</t>
  </si>
  <si>
    <t>quote 2 lần cùng lúc khác tải ⇒ 2 ngày giao khác nhau</t>
  </si>
  <si>
    <t>linh hồn đề tài</t>
  </si>
  <si>
    <t>Decompose thật từ quote_items + chống chồng slot</t>
  </si>
  <si>
    <t xml:space="preserve">• OrderConfirmed→jobs: spec đọc MeshAnalysis+config, bỏ hằng số 120³/qty×30g/60ph
• slot unique(machine,from,to) hoặc lock per-machine trong Assign</t>
  </si>
  <si>
    <t>SCHED-006 · NFR-REL-004</t>
  </si>
  <si>
    <t>race test (F8) pass</t>
  </si>
  <si>
    <t>Accept/DECLINE + countdown</t>
  </si>
  <si>
    <t>• POST decline(reason enum) + response_deadline_at; UI JobInbox đếm ngược</t>
  </si>
  <si>
    <t>LAB-004 · BR-ASSIGN-005/006</t>
  </si>
  <si>
    <t>decline ⇒ event; countdown thấy được</t>
  </si>
  <si>
    <t>Batch receipt + reconcile</t>
  </si>
  <si>
    <t>• Hub: batches/batch_items; POST receipt(code) per-job RECEIVED/MISSING ⇒ incident + notify</t>
  </si>
  <si>
    <t>HUB-001 · BR-QC-010</t>
  </si>
  <si>
    <t>MISSING ⇒ Lab + Ops nhận thông báo</t>
  </si>
  <si>
    <t>Handover + IN_TRANSIT</t>
  </si>
  <si>
    <t>• POST handover(jobIds, carrier, waybill) tạo batch code; state mới</t>
  </si>
  <si>
    <t>UC-015 · BR-SCHED-009</t>
  </si>
  <si>
    <t>nối F5 receipt</t>
  </si>
  <si>
    <t>Consolidation + gate pack + TransitionTo</t>
  </si>
  <si>
    <t>• pack chặn nếu còn item chưa PASSED_QC (409 + outstanding list); ship(waybill); delivered ⇒ DeliveredAt + mở window; API nội bộ gọi Order.TransitionTo từ chuỗi job/pack/deliver (hiện không ai gọi)</t>
  </si>
  <si>
    <t>HUB-004/005 · QC-008/009</t>
  </si>
  <si>
    <t>đơn đi hết InProduction→QC→Shipping→Delivered mà KHÔNG cần seeder</t>
  </si>
  <si>
    <t>chốt G-A</t>
  </si>
  <si>
    <t>SignalR publisher + tracking FE</t>
  </si>
  <si>
    <t>• IHubContext publish trong event handlers; FE import hubClient + polling fallback 15s; trang tracking detail</t>
  </si>
  <si>
    <t>CUST-009 · UC-003</t>
  </si>
  <si>
    <t>lab bấm state ⇒ tab khách đổi &lt;15s</t>
  </si>
  <si>
    <t>NotificationService (email)</t>
  </si>
  <si>
    <t>• interface + impl SMTP/SendGrid; templates: welcome/verify/paid/assigned/qc-fail/shipped/delay; mọi message ẩn tên lab; outbox table để test</t>
  </si>
  <si>
    <t>BR-NOTIFY-001 · F7</t>
  </si>
  <si>
    <t>mỗi event đúng 1 email tới đúng role</t>
  </si>
  <si>
    <t>Rescheduler handler</t>
  </si>
  <si>
    <t>• IPipelineCommand/Handler cho ReschedulingTriggeredEvent (đang emit 0 handler): only NOT_STARTED, budget 30s, fallback giữ nguyên, job IN_PROGRESS khóa</t>
  </si>
  <si>
    <t>SCHED-007 · BR-RESCHED-001/002 · SCHED-007</t>
  </si>
  <si>
    <t>test: fail ở 80% ⇒ slot mới &lt;30s, khách không trễ nếu còn slack</t>
  </si>
  <si>
    <t>Reprint URGENT + trần 2</t>
  </si>
  <si>
    <t>• ReprintService: copy config, deadline=original, priority; count&gt;2 ⇒ escalate event</t>
  </si>
  <si>
    <t>RESCHED-003/004 · UC-013</t>
  </si>
  <si>
    <t>QC fail ⇒ URGENT đúng lịch</t>
  </si>
  <si>
    <t>Decision log persist + API</t>
  </si>
  <si>
    <t>• decision_log(job, candidates jsonb, scores, config_version, actor) ghi CÙNG txn assign (fail ⇒ rollback); GET /ops/decisions/{jobId}</t>
  </si>
  <si>
    <t>SCHED-009 · BR-ASSIGN-004</t>
  </si>
  <si>
    <t>trace 5 job random đủ liệu</t>
  </si>
  <si>
    <t>Auto-decline 2h + At-risk scanner</t>
  </si>
  <si>
    <t>• RecurringJob /5ph: deadline quá ⇒ decline(timeout); /15ph: slack&lt;4h(cfg) ⇒ at_risk view + event</t>
  </si>
  <si>
    <t>ASSIGN-005 · BR-OPS-007</t>
  </si>
  <si>
    <t>im lặng = tự từ chối; cận hẹn = đỏ</t>
  </si>
  <si>
    <t>Filter += inventory + standing + adversarial suite</t>
  </si>
  <si>
    <t>• CapabilityFilter đọc stock F4; view standing; tests/ InfeasibleSuite 30 ca độc lập scoring</t>
  </si>
  <si>
    <t>SCHED-003 · NFR-REL-005</t>
  </si>
  <si>
    <t>0 vi phạm trong suite</t>
  </si>
  <si>
    <t>Inventory đúng nghĩa</t>
  </si>
  <si>
    <t>• material_stock(material,color,grams,reserved); reserve-accept / settle-DONE / release-cancel; low-stock alert; form nhập</t>
  </si>
  <si>
    <t>LAB-003 · BR-ASSIGN-001(in)</t>
  </si>
  <si>
    <t>stock 0 ⇒ F3 loại đúng tổ hợp</t>
  </si>
  <si>
    <t>Incident + ảnh → sự kiện</t>
  </si>
  <si>
    <t>• POST incidents(type, stagePct, photos[] MinIO) ⇒ event rescheduler; nút Report trên Queue</t>
  </si>
  <si>
    <t>LAB-005 · UC-005 A1/A2</t>
  </si>
  <si>
    <t>MACHINE_DOWN ⇒ máy rời filter</t>
  </si>
  <si>
    <t>Inspection nâng cấp</t>
  </si>
  <si>
    <t>• verdict + checklist_version + ảnh bắt buộc + defect + attribution + qc_costs(lab|platform); fail⇒event F3</t>
  </si>
  <si>
    <t>HUB-002/003 · BR-QC-002..007</t>
  </si>
  <si>
    <t>fail đủ hồ sơ mới cho reprint</t>
  </si>
  <si>
    <t>Refund + đối soát (dời sau SEPay)</t>
  </si>
  <si>
    <t>• ops approve full/partial-item; idempotency key txn+attempt; SLA 5 ngày warn; T-1 reconcile payments×orders, lệch ⇒ freeze txn</t>
  </si>
  <si>
    <t>ANAL-005 · BR-PAY-004/006 · NFR-SEC-009</t>
  </si>
  <si>
    <t>gọi refund 2 lần ⇒ 1 kết quả; report đối soát</t>
  </si>
  <si>
    <t>phụ thuộc SEPay — làm liền sau task đó</t>
  </si>
  <si>
    <t>Flow đổi ngày giao (B16)</t>
  </si>
  <si>
    <t>• ops tạo request (reason ∈ 3 điều kiện) → token link khách approve/decline; declined ⇒ đường refund</t>
  </si>
  <si>
    <t>NFR-REL-006 · BR-NOTIFY-002</t>
  </si>
  <si>
    <t>không có approve ⇒ date không đổi</t>
  </si>
  <si>
    <t>Config parameter sets có version</t>
  </si>
  <si>
    <t>• bảng config(group,key,value,version,active); API PUT/GET; cache đọc ≤1 phút; endpoint + FE admin/Configs preview diff</t>
  </si>
  <si>
    <t>ADMIN-002 · CONFIG-001..003 · NFR-MAINT-005</t>
  </si>
  <si>
    <t>đổi expiry/weights không restart; F3/F6 đọc từ đây</t>
  </si>
  <si>
    <t>Catalogue DB thay const</t>
  </si>
  <si>
    <t>• materials/colors/technologies/grades (+rate refs); FE admin/Catalog; deprecate-only in-use; bỏ MATERIALS const FE</t>
  </si>
  <si>
    <t>ADMIN-003 · CONFIG-003</t>
  </si>
  <si>
    <t>thêm PETG-Grey ⇒ hiện ở config checkout</t>
  </si>
  <si>
    <t>Checklist + taxonomy manager</t>
  </si>
  <si>
    <t>• checklists(grade,version,items jsonb), defect_taxonomy; inspection đọc version active</t>
  </si>
  <si>
    <t>ADMIN-005 · BR-QC-002</t>
  </si>
  <si>
    <t>ca chạy giữ version cũ</t>
  </si>
  <si>
    <t>Weights/scoring đọc config động</t>
  </si>
  <si>
    <t>• AssignmentScorer nhận weights từ F2 (thay const 0.35...)</t>
  </si>
  <si>
    <t>SCHED-004 · ASSIGN-002</t>
  </si>
  <si>
    <t>đổi weight ⇒ assignment kế tiếp đổi theo</t>
  </si>
  <si>
    <t>Lab self-registration + approval</t>
  </si>
  <si>
    <t>• form lab (calendar, transfer); status PENDING; admin approve; bỏ gate RequireOps</t>
  </si>
  <si>
    <t>LAB-001 · BR-OPS-005/006 · UC-014</t>
  </si>
  <si>
    <t>lab đối tác tự onboard bằng form</t>
  </si>
  <si>
    <t>Gantt máy + standing</t>
  </si>
  <si>
    <t>• GET slots/machine; FE Timeline; màn standing đọc ledger (view-only)</t>
  </si>
  <si>
    <t>LAB-006/007 · PERF-004 · UC-008</t>
  </si>
  <si>
    <t>cập nhật sau mỗi reschedule</t>
  </si>
  <si>
    <t>Màn Ops viewer + override</t>
  </si>
  <si>
    <t>• features/ops/Monitor (at-risk + load), DecisionLog, OverrideModal — reassign chạy filter trước, không bypass</t>
  </si>
  <si>
    <t>ANAL-001/004 · BR-OPS-001/002</t>
  </si>
  <si>
    <t>trace + 2 bước khi đụng date khách</t>
  </si>
  <si>
    <t>Simulator khung</t>
  </si>
  <si>
    <t>• tools/Simulator: virtual clock, N labs/M machines, engine THẬT inject qua interface, replay event</t>
  </si>
  <si>
    <t>UC-027 · P-92</t>
  </si>
  <si>
    <t>cùng seed 2 lần ⇒ giống hệt; chạy 1000 đơn/tháng</t>
  </si>
  <si>
    <t>chỉ khởi động sau G-A</t>
  </si>
  <si>
    <t>Order generator + fault injection</t>
  </si>
  <si>
    <t>• Poisson arrival, mix size/grade, deadline tightness; 4 fault: decline / fail theo stage / breakdown+MTTR / QC-fail rate</t>
  </si>
  <si>
    <t>UC-027 · P-82</t>
  </si>
  <si>
    <t>bật/tắt từng loại fault</t>
  </si>
  <si>
    <t>Baseline runner + metrics</t>
  </si>
  <si>
    <t>• 4 chiến lược cùng workload: capacity-aware/EDD/nearest/random; metrics tardiness, on-time, util, Gini ⇒ csv</t>
  </si>
  <si>
    <t>NFR-TEST-003 · BR-OPS-008</t>
  </si>
  <si>
    <t>1 lệnh ra bảng so sánh</t>
  </si>
  <si>
    <t>Calibration tự động</t>
  </si>
  <si>
    <t>• nightly job: job_actuals → regression per model (outlier/min-sample cfg) → config version mới; MAPE view</t>
  </si>
  <si>
    <t>SCHED-008 · BR-ESTIM-002..006 · NFR-ACC-001</t>
  </si>
  <si>
    <t>MAPE giảm sau 2 chu kỳ</t>
  </si>
  <si>
    <t>Pilot đo thật + stress scale</t>
  </si>
  <si>
    <t>• N job in tại lab (lịch đã chốt) ⇒ import actuals; stress sim 50/300</t>
  </si>
  <si>
    <t>NFR-SCALE-001 · P-104</t>
  </si>
  <si>
    <t>bảng estimate-vs-actual thật</t>
  </si>
  <si>
    <t>Phiếu v1.1 + v1.2 + RoC</t>
  </si>
  <si>
    <t>• gỡ ⚠ sau họp (SEPay! BR-PAY cập nhật); v1.2: FR★ vào products</t>
  </si>
  <si>
    <t>B3 · Phụ lục B</t>
  </si>
  <si>
    <t>biên bản có chữ ký đính kèm</t>
  </si>
  <si>
    <t>Conceptual ERD + docs cập nhật</t>
  </si>
  <si>
    <t>• B8 ERD 3 mức; 07_Traceability map TC; SRS/SDD tick ✅ theo Task List</t>
  </si>
  <si>
    <t>B8 nợ</t>
  </si>
  <si>
    <t>mỗi FR Must có ✅ + người trình</t>
  </si>
  <si>
    <t>User guide 4 vai + slides Review</t>
  </si>
  <si>
    <t>• Report 6; deck demo 3 kịch bản</t>
  </si>
  <si>
    <t>dượt 2 lần, quay video phòng hờ</t>
  </si>
  <si>
    <t>Staging公网 + backup drill</t>
  </si>
  <si>
    <t>• VPS + TLS + webhook URL cố định cho SEPay; pg_dump/restore ≤15′; smoke.sh</t>
  </si>
  <si>
    <t>NFR-REL-002</t>
  </si>
  <si>
    <t>demo bằng URL thật ngoài wifi trường</t>
  </si>
  <si>
    <t>Algorithm Evaluation Report</t>
  </si>
  <si>
    <t>• dựng từ csv baseline + pilot; 3 đồ thị + giới hạn</t>
  </si>
  <si>
    <t>P-93</t>
  </si>
  <si>
    <t>số trong report truy được về run/seed</t>
  </si>
  <si>
    <t>Tên</t>
  </si>
  <si>
    <t>Ghế đăng ký</t>
  </si>
  <si>
    <t>TẢI TỔNG (tự tính)</t>
  </si>
  <si>
    <t>T1</t>
  </si>
  <si>
    <t>T2</t>
  </si>
  <si>
    <t>T3</t>
  </si>
  <si>
    <t>T4</t>
  </si>
  <si>
    <t>T5</t>
  </si>
  <si>
    <t>T6</t>
  </si>
  <si>
    <t>T7</t>
  </si>
  <si>
    <t>T8</t>
  </si>
  <si>
    <t>Tân</t>
  </si>
  <si>
    <t>Minh</t>
  </si>
  <si>
    <t>Nhật</t>
  </si>
  <si>
    <t>Tuấn</t>
  </si>
  <si>
    <t>TỔNG MỌI NGƯỜI</t>
  </si>
  <si>
    <t>CÁCH PICK</t>
  </si>
  <si>
    <t>Đọc Function map — cột Ghế đề xuất. Ghế Engine = F3+F9 (1 người, không chia đôi). Ghế Nhà máy quá tải → nhường F5 sau G-A cho Ghế Xưởng.</t>
  </si>
  <si>
    <t>RULE</t>
  </si>
  <si>
    <t>4 người × 8 tuần × 4,3 ngày ≈ 138d có sẵn — danh mục = 141d: CẮT dòng Could trước, rồi mới tính hoãn F9. Muốn xong 6 tuần ("sớm"): chỉ khả thi nếu ghế Engine rảnh 100% và F9 nén còn 12d.</t>
  </si>
  <si>
    <t>2 dòng Must cùng "Tuần" không rơi 1 người. Cột Tình trạng update mỗi tối — 2 Block liên tiếp 2 ngày = họp 15′ cắt Should/Could ngay.</t>
  </si>
  <si>
    <t>Việc</t>
  </si>
  <si>
    <t>GATE — không đậu thì KHÔNG đi tiếp</t>
  </si>
  <si>
    <t>0 Nền móng</t>
  </si>
  <si>
    <t>1</t>
  </si>
  <si>
    <t>F8 D0+seed · F1 users/roles/verify · F3 nối parser + slicing · F10 state tables</t>
  </si>
  <si>
    <t>4 máy chung nền; upload→analyze ra số THẬT</t>
  </si>
  <si>
    <t>1 LUỒNG VÀNG</t>
  </si>
  <si>
    <t>1–2</t>
  </si>
  <si>
    <t>F6 BRIDGE mark-paid (SEPay dời T7) · F3 freeze pricing + speculative + decompose + chống chồng · F4 accept · F5 hub chain + TransitionTo · F7 realtime + email</t>
  </si>
  <si>
    <t>G-A: 1 đơn chạy hết chuỗi bằng mark-paid (audit được), không dòng nào từ DemoDataSeeder</t>
  </si>
  <si>
    <t>2 Ngoại lệ</t>
  </si>
  <si>
    <t>3</t>
  </si>
  <si>
    <t>F3 repair/reprint/auto-decline/at-risk/decision-log · F4 inventory/incident · F5 inspection đầy đủ · F7 đổi ngày</t>
  </si>
  <si>
    <t>in hỏng 80% ⇒ slot mới &lt;30s, khách không mất hẹn</t>
  </si>
  <si>
    <t>3 Quản trị</t>
  </si>
  <si>
    <t>4</t>
  </si>
  <si>
    <t>F2 cả ba · F1 audit/RBAC matrix/user mgmt · F4 registration+self+Gantt · F3 ops viewer</t>
  </si>
  <si>
    <t>đổi luật ≤1 phút không restart; lab chỉ thấy việc mình</t>
  </si>
  <si>
    <t>4 Nghiên cứu</t>
  </si>
  <si>
    <t>5–6</t>
  </si>
  <si>
    <t>F9 simulator→generator/fault→baselines→calibration auto</t>
  </si>
  <si>
    <t>1 lệnh ra bảng 4 chiến lược; seed = kết quả</t>
  </si>
  <si>
    <t>5 Đóng ví</t>
  </si>
  <si>
    <t>7–8</t>
  </si>
  <si>
    <t>F6 SEPay + refund/đối soát (payment để sau — giờ mới làm) · F9 pilot+stress+report · F8 staging · F10 phiếu v1.2/SRS/slide/demo · bug bash rải đều</t>
  </si>
  <si>
    <t>G-B: NFR-16 pass bảng + 3 kịch bản dượt 2 lần + đơn SEPay sandbox thật</t>
  </si>
  <si>
    <t>TUẦN 1 LÀ CORE FLOW</t>
  </si>
  <si>
    <t>Core flow = Phase 0+1 (tuần 1→giữa tuần 2). Không có tuần nào "làm đẹp" trước khi G-A đậu.</t>
  </si>
  <si>
    <t>Surface (file/folder FE)</t>
  </si>
  <si>
    <t>Chủ mặc định (ghế)</t>
  </si>
  <si>
    <t>Task động vào</t>
  </si>
  <si>
    <t>Luật phối hợp</t>
  </si>
  <si>
    <t>features/quotes/OrderConfigPage + quoteTypes</t>
  </si>
  <si>
    <t>Ghế Tiền &amp; Khách (F6)</t>
  </si>
  <si>
    <t>checkout, pricing display, T&amp;C</t>
  </si>
  <si>
    <t>F3 CHỈ được sửa: chip kết quả báo giá trong con component QuoteResult của F3 mà F6 render — không sửa trang của nhau, nói chuyện qua props/DTO</t>
  </si>
  <si>
    <t>features/quotes/QuoteResult (mới)</t>
  </si>
  <si>
    <t>Ghế Engine (F3)</t>
  </si>
  <si>
    <t>freeze pricing, speculative date/surcharge</t>
  </si>
  <si>
    <t>F6 đọc DTO /quotes/{id}, không tái tính giá phía FE</t>
  </si>
  <si>
    <t>features/tracking + notifications</t>
  </si>
  <si>
    <t>Ghế Tiền &amp; Khách (F7)</t>
  </si>
  <si>
    <t>timeline, bell, hub client</t>
  </si>
  <si>
    <t>event names khóa trong contracts/openapi — F4/F5 chỉ PHÁT event, không sửa UI khách</t>
  </si>
  <si>
    <t>features/lab/**</t>
  </si>
  <si>
    <t>Ghế Xưởng (F4)</t>
  </si>
  <si>
    <t>machines, inventory, job inbox, queue, handover, timeline</t>
  </si>
  <si>
    <t>job state đổi ⇒ server event, F4 không import code F3</t>
  </si>
  <si>
    <t>features/hub/**</t>
  </si>
  <si>
    <t>Ghế Nhà máy (F5)</t>
  </si>
  <si>
    <t>receipt, inspection, fulfillment</t>
  </si>
  <si>
    <t>nút "reprint" chỉ gọi API ANAL — logic gán lại thuộc F3</t>
  </si>
  <si>
    <t>features/admin/** (Users, Catalogs, Configs, Checklists)</t>
  </si>
  <si>
    <t>Ghế Nhà máy (F1+F2)</t>
  </si>
  <si>
    <t>RBAC, catalogue, params, checklist</t>
  </si>
  <si>
    <t>form schema lấy từ openapi; thêm field = sửa contract trước</t>
  </si>
  <si>
    <t>features/auth, account</t>
  </si>
  <si>
    <t>Ghế Nhà máy (F1)</t>
  </si>
  <si>
    <t>login/register/verify/addresses</t>
  </si>
  <si>
    <t>LoginShowcase 3D: CHỈ chủ ghế F1 sửa layout; số liệu động phải qua /network/stats, không hardcode</t>
  </si>
  <si>
    <t>features/ops/** (Monitor, DecisionLog, Refunds, Reports)</t>
  </si>
  <si>
    <t>Ghế Engine cho DecisionLog+Override (F3) · Ghế T&amp;K cho Refunds (F6) · Ghế Nhà máy cho Reports (F2/ANAL)</t>
  </si>
  <si>
    <t>tuần 3–7</t>
  </si>
  <si>
    <t>3 thư mục TÁCH RỜI trong features/ops/ — không file chung</t>
  </si>
  <si>
    <t>shared/**, routes/AppRoutes, theme, apiClient, HomeHeader</t>
  </si>
  <si>
    <t>SHELL OWNER: Ghế Nhà máy (F8)</t>
  </si>
  <si>
    <t>mọi seat xin slot route</t>
  </si>
  <si>
    <t>đóng băng: sửa qua PR vào chủ shell; route mới = thêm dòng theo template, không refactor chung</t>
  </si>
  <si>
    <t>tests/ (Unit/Integration)</t>
  </si>
  <si>
    <t>Ghế Engine (F3 suite NFR) · Ghế Nhà máy (CI + integration host)</t>
  </si>
  <si>
    <t>W2–W8</t>
  </si>
  <si>
    <t>thư mục test mirror theo module — không ai viết test hộ module người khác</t>
  </si>
  <si>
    <t>4 QUY TẮC PICK TASK</t>
  </si>
  <si>
    <t>Pick task = claim folder tương ứng trong TUẦN đó. 1 folder — 1 tuần — 1 người. Muốn 2 người cùng 1 folder: đổi tuần, không đổi folder.</t>
  </si>
  <si>
    <t>2</t>
  </si>
  <si>
    <t>Bắt tay qua CONTRACT (openapi + event names + props), không qua sửa file của nhau. Cần gì từ seat khác → ghi vào cột Ghi chú task của họ hoặc issue, seat đó làm.</t>
  </si>
  <si>
    <t>shared/ + routes: chỉ SHELL OWNER merge. Ai cần route/menu mới → PR 1 dòng, review 5 phút.</t>
  </si>
  <si>
    <t>Branch theo task (f/F3-w2-speculative), merge nightly — cấm branch sống quá 3 ngày chạm shared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</si>
</sst>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DEDED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vertical="top" wrapText="1"/>
    </xf>
    <xf numFmtId="0" fontId="0" fillId="6" borderId="0" xfId="0" applyFill="1"/>
    <xf numFmtId="0" fontId="0" fillId="6" borderId="0" xfId="0" applyFill="1" applyAlignment="1">
      <alignment vertical="top" wrapText="1"/>
    </xf>
    <xf numFmtId="0" fontId="0" fillId="7" borderId="0" xfId="0" applyFill="1"/>
    <xf numFmtId="0" fontId="0" fillId="7" borderId="0" xfId="0" applyFill="1" applyAlignment="1">
      <alignment vertical="top" wrapText="1"/>
    </xf>
    <xf numFmtId="0" fontId="0" fillId="8" borderId="0" xfId="0" applyFill="1"/>
    <xf numFmtId="0" fontId="0" fillId="8" borderId="0" xfId="0" applyFill="1" applyAlignment="1">
      <alignment vertical="top" wrapText="1"/>
    </xf>
    <xf numFmtId="0" fontId="0" fillId="9" borderId="0" xfId="0" applyFill="1"/>
    <xf numFmtId="0" fontId="0" fillId="9" borderId="0" xfId="0" applyFill="1" applyAlignment="1">
      <alignment vertical="top" wrapText="1"/>
    </xf>
    <xf numFmtId="0" fontId="0" fillId="10" borderId="0" xfId="0" applyFill="1"/>
    <xf numFmtId="0" fontId="0" fillId="10" borderId="0" xfId="0" applyFill="1" applyAlignment="1">
      <alignment vertical="top" wrapText="1"/>
    </xf>
    <xf numFmtId="0" fontId="0" fillId="11" borderId="0" xfId="0" applyFill="1"/>
    <xf numFmtId="0" fontId="0" fillId="11" borderId="0" xfId="0" applyFill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4" customWidth="1"/>
    <col min="3" max="3" width="46" customWidth="1"/>
    <col min="4" max="4" width="34" customWidth="1"/>
    <col min="5" max="5" width="8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7</v>
      </c>
      <c r="F2">
        <v>16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3</v>
      </c>
      <c r="F3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>
        <v>11</v>
      </c>
      <c r="F4">
        <v>33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>
        <v>6</v>
      </c>
      <c r="F5">
        <v>15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>
        <v>4</v>
      </c>
      <c r="F6">
        <v>13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>
        <v>3</v>
      </c>
      <c r="F7">
        <v>10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  <c r="E8">
        <v>4</v>
      </c>
      <c r="F8">
        <v>8</v>
      </c>
    </row>
    <row r="9" spans="1:6" x14ac:dyDescent="0.25">
      <c r="A9" t="s">
        <v>34</v>
      </c>
      <c r="B9" t="s">
        <v>35</v>
      </c>
      <c r="C9" t="s">
        <v>36</v>
      </c>
      <c r="D9" t="s">
        <v>13</v>
      </c>
      <c r="E9">
        <v>4</v>
      </c>
      <c r="F9">
        <v>6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>
        <v>5</v>
      </c>
      <c r="F10">
        <v>20</v>
      </c>
    </row>
    <row r="11" spans="1:6" x14ac:dyDescent="0.25">
      <c r="A11" t="s">
        <v>41</v>
      </c>
      <c r="B11" t="s">
        <v>42</v>
      </c>
      <c r="C11" t="s">
        <v>43</v>
      </c>
      <c r="D11" t="s">
        <v>44</v>
      </c>
      <c r="E11">
        <v>5</v>
      </c>
      <c r="F11">
        <v>10</v>
      </c>
    </row>
    <row r="13" spans="1:6" x14ac:dyDescent="0.25">
      <c r="A13" t="s">
        <v>45</v>
      </c>
      <c r="B13" t="s">
        <v>46</v>
      </c>
      <c r="C13" t="s">
        <v>47</v>
      </c>
      <c r="D13" t="s">
        <v>47</v>
      </c>
      <c r="E13">
        <v>63</v>
      </c>
      <c r="F13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5" customWidth="1"/>
    <col min="3" max="3" width="34" customWidth="1"/>
    <col min="4" max="4" width="74" customWidth="1"/>
    <col min="5" max="5" width="24" customWidth="1"/>
    <col min="6" max="9" width="6" customWidth="1"/>
    <col min="11" max="12" width="12" customWidth="1"/>
    <col min="13" max="13" width="44" customWidth="1"/>
    <col min="14" max="14" width="26" customWidth="1"/>
  </cols>
  <sheetData>
    <row r="1" spans="1:14" s="2" customFormat="1" x14ac:dyDescent="0.25">
      <c r="A1" s="2" t="s">
        <v>48</v>
      </c>
      <c r="B1" s="2" t="s">
        <v>0</v>
      </c>
      <c r="C1" s="2" t="s">
        <v>4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</row>
    <row r="2" spans="1:14" x14ac:dyDescent="0.25">
      <c r="A2" s="3">
        <v>1</v>
      </c>
      <c r="B2" s="3" t="s">
        <v>34</v>
      </c>
      <c r="C2" s="4" t="s">
        <v>60</v>
      </c>
      <c r="D2" s="4" t="s">
        <v>61</v>
      </c>
      <c r="E2" s="3" t="s">
        <v>62</v>
      </c>
      <c r="F2" s="3" t="s">
        <v>63</v>
      </c>
      <c r="G2" s="3">
        <v>0</v>
      </c>
      <c r="H2" s="3">
        <v>1</v>
      </c>
      <c r="I2" s="3">
        <v>1</v>
      </c>
      <c r="J2" s="3" t="s">
        <v>64</v>
      </c>
      <c r="K2" s="3" t="s">
        <v>47</v>
      </c>
      <c r="L2" s="3" t="s">
        <v>65</v>
      </c>
      <c r="M2" s="4" t="s">
        <v>66</v>
      </c>
      <c r="N2" s="3" t="s">
        <v>47</v>
      </c>
    </row>
    <row r="3" spans="1:14" x14ac:dyDescent="0.25">
      <c r="A3" s="3">
        <v>2</v>
      </c>
      <c r="B3" s="3" t="s">
        <v>34</v>
      </c>
      <c r="C3" s="4" t="s">
        <v>67</v>
      </c>
      <c r="D3" s="4" t="s">
        <v>68</v>
      </c>
      <c r="E3" s="3" t="s">
        <v>69</v>
      </c>
      <c r="F3" s="3" t="s">
        <v>70</v>
      </c>
      <c r="G3" s="3">
        <v>0</v>
      </c>
      <c r="H3" s="3">
        <v>1</v>
      </c>
      <c r="I3" s="3">
        <v>1</v>
      </c>
      <c r="J3" s="3" t="s">
        <v>64</v>
      </c>
      <c r="K3" s="3" t="s">
        <v>47</v>
      </c>
      <c r="L3" s="3" t="s">
        <v>65</v>
      </c>
      <c r="M3" s="4" t="s">
        <v>71</v>
      </c>
      <c r="N3" s="3" t="s">
        <v>47</v>
      </c>
    </row>
    <row r="4" spans="1:14" x14ac:dyDescent="0.25">
      <c r="A4" s="5">
        <v>3</v>
      </c>
      <c r="B4" s="5" t="s">
        <v>41</v>
      </c>
      <c r="C4" s="6" t="s">
        <v>72</v>
      </c>
      <c r="D4" s="6" t="s">
        <v>73</v>
      </c>
      <c r="E4" s="5" t="s">
        <v>74</v>
      </c>
      <c r="F4" s="5" t="s">
        <v>63</v>
      </c>
      <c r="G4" s="5">
        <v>0</v>
      </c>
      <c r="H4" s="5">
        <v>1</v>
      </c>
      <c r="I4" s="5">
        <v>2</v>
      </c>
      <c r="J4" s="5" t="s">
        <v>64</v>
      </c>
      <c r="K4" s="5" t="s">
        <v>47</v>
      </c>
      <c r="L4" s="5" t="s">
        <v>65</v>
      </c>
      <c r="M4" s="6" t="s">
        <v>75</v>
      </c>
      <c r="N4" s="5" t="s">
        <v>76</v>
      </c>
    </row>
    <row r="5" spans="1:14" x14ac:dyDescent="0.25">
      <c r="A5" s="3">
        <v>4</v>
      </c>
      <c r="B5" s="3" t="s">
        <v>34</v>
      </c>
      <c r="C5" s="4" t="s">
        <v>77</v>
      </c>
      <c r="D5" s="4" t="s">
        <v>78</v>
      </c>
      <c r="E5" s="3" t="s">
        <v>79</v>
      </c>
      <c r="F5" s="3" t="s">
        <v>63</v>
      </c>
      <c r="G5" s="3">
        <v>1</v>
      </c>
      <c r="H5" s="3">
        <v>2</v>
      </c>
      <c r="I5" s="3">
        <v>3</v>
      </c>
      <c r="J5" s="3" t="s">
        <v>64</v>
      </c>
      <c r="K5" s="3" t="s">
        <v>47</v>
      </c>
      <c r="L5" s="3" t="s">
        <v>65</v>
      </c>
      <c r="M5" s="4" t="s">
        <v>80</v>
      </c>
      <c r="N5" s="3" t="s">
        <v>47</v>
      </c>
    </row>
    <row r="6" spans="1:14" x14ac:dyDescent="0.25">
      <c r="A6" s="7">
        <v>5</v>
      </c>
      <c r="B6" s="7" t="s">
        <v>6</v>
      </c>
      <c r="C6" s="8" t="s">
        <v>81</v>
      </c>
      <c r="D6" s="8" t="s">
        <v>82</v>
      </c>
      <c r="E6" s="7" t="s">
        <v>83</v>
      </c>
      <c r="F6" s="7" t="s">
        <v>70</v>
      </c>
      <c r="G6" s="7">
        <v>0</v>
      </c>
      <c r="H6" s="7">
        <v>1</v>
      </c>
      <c r="I6" s="7">
        <v>3</v>
      </c>
      <c r="J6" s="7" t="s">
        <v>64</v>
      </c>
      <c r="K6" s="7" t="s">
        <v>47</v>
      </c>
      <c r="L6" s="7" t="s">
        <v>65</v>
      </c>
      <c r="M6" s="8" t="s">
        <v>84</v>
      </c>
      <c r="N6" s="7" t="s">
        <v>47</v>
      </c>
    </row>
    <row r="7" spans="1:14" x14ac:dyDescent="0.25">
      <c r="A7" s="7">
        <v>6</v>
      </c>
      <c r="B7" s="7" t="s">
        <v>6</v>
      </c>
      <c r="C7" s="8" t="s">
        <v>85</v>
      </c>
      <c r="D7" s="8" t="s">
        <v>86</v>
      </c>
      <c r="E7" s="7" t="s">
        <v>87</v>
      </c>
      <c r="F7" s="7" t="s">
        <v>63</v>
      </c>
      <c r="G7" s="7">
        <v>0</v>
      </c>
      <c r="H7" s="7">
        <v>1</v>
      </c>
      <c r="I7" s="7">
        <v>2</v>
      </c>
      <c r="J7" s="7" t="s">
        <v>64</v>
      </c>
      <c r="K7" s="7" t="s">
        <v>47</v>
      </c>
      <c r="L7" s="7" t="s">
        <v>65</v>
      </c>
      <c r="M7" s="8" t="s">
        <v>88</v>
      </c>
      <c r="N7" s="7" t="s">
        <v>47</v>
      </c>
    </row>
    <row r="8" spans="1:14" x14ac:dyDescent="0.25">
      <c r="A8" s="7">
        <v>7</v>
      </c>
      <c r="B8" s="7" t="s">
        <v>6</v>
      </c>
      <c r="C8" s="8" t="s">
        <v>89</v>
      </c>
      <c r="D8" s="8" t="s">
        <v>90</v>
      </c>
      <c r="E8" s="7" t="s">
        <v>91</v>
      </c>
      <c r="F8" s="7" t="s">
        <v>63</v>
      </c>
      <c r="G8" s="7">
        <v>1</v>
      </c>
      <c r="H8" s="7">
        <v>2</v>
      </c>
      <c r="I8" s="7">
        <v>2</v>
      </c>
      <c r="J8" s="7" t="s">
        <v>64</v>
      </c>
      <c r="K8" s="7" t="s">
        <v>47</v>
      </c>
      <c r="L8" s="7" t="s">
        <v>65</v>
      </c>
      <c r="M8" s="8" t="s">
        <v>92</v>
      </c>
      <c r="N8" s="7" t="s">
        <v>47</v>
      </c>
    </row>
    <row r="9" spans="1:14" x14ac:dyDescent="0.25">
      <c r="A9" s="7">
        <v>8</v>
      </c>
      <c r="B9" s="7" t="s">
        <v>6</v>
      </c>
      <c r="C9" s="8" t="s">
        <v>93</v>
      </c>
      <c r="D9" s="8" t="s">
        <v>94</v>
      </c>
      <c r="E9" s="7" t="s">
        <v>95</v>
      </c>
      <c r="F9" s="7" t="s">
        <v>63</v>
      </c>
      <c r="G9" s="7">
        <v>3</v>
      </c>
      <c r="H9" s="7">
        <v>4</v>
      </c>
      <c r="I9" s="7">
        <v>3</v>
      </c>
      <c r="J9" s="7" t="s">
        <v>64</v>
      </c>
      <c r="K9" s="7" t="s">
        <v>47</v>
      </c>
      <c r="L9" s="7" t="s">
        <v>65</v>
      </c>
      <c r="M9" s="8" t="s">
        <v>96</v>
      </c>
      <c r="N9" s="7" t="s">
        <v>47</v>
      </c>
    </row>
    <row r="10" spans="1:14" x14ac:dyDescent="0.25">
      <c r="A10" s="7">
        <v>9</v>
      </c>
      <c r="B10" s="7" t="s">
        <v>6</v>
      </c>
      <c r="C10" s="8" t="s">
        <v>97</v>
      </c>
      <c r="D10" s="8" t="s">
        <v>98</v>
      </c>
      <c r="E10" s="7" t="s">
        <v>99</v>
      </c>
      <c r="F10" s="7" t="s">
        <v>47</v>
      </c>
      <c r="G10" s="7">
        <v>3</v>
      </c>
      <c r="H10" s="7">
        <v>4</v>
      </c>
      <c r="I10" s="7">
        <v>2</v>
      </c>
      <c r="J10" s="7" t="s">
        <v>64</v>
      </c>
      <c r="K10" s="7" t="s">
        <v>47</v>
      </c>
      <c r="L10" s="7" t="s">
        <v>65</v>
      </c>
      <c r="M10" s="8" t="s">
        <v>100</v>
      </c>
      <c r="N10" s="7" t="s">
        <v>47</v>
      </c>
    </row>
    <row r="11" spans="1:14" x14ac:dyDescent="0.25">
      <c r="A11" s="7">
        <v>10</v>
      </c>
      <c r="B11" s="7" t="s">
        <v>6</v>
      </c>
      <c r="C11" s="8" t="s">
        <v>101</v>
      </c>
      <c r="D11" s="8" t="s">
        <v>102</v>
      </c>
      <c r="E11" s="7" t="s">
        <v>103</v>
      </c>
      <c r="F11" s="7" t="s">
        <v>70</v>
      </c>
      <c r="G11" s="7">
        <v>2</v>
      </c>
      <c r="H11" s="7">
        <v>3</v>
      </c>
      <c r="I11" s="7">
        <v>2</v>
      </c>
      <c r="J11" s="7" t="s">
        <v>104</v>
      </c>
      <c r="K11" s="7" t="s">
        <v>47</v>
      </c>
      <c r="L11" s="7" t="s">
        <v>65</v>
      </c>
      <c r="M11" s="8" t="s">
        <v>105</v>
      </c>
      <c r="N11" s="7" t="s">
        <v>47</v>
      </c>
    </row>
    <row r="12" spans="1:14" x14ac:dyDescent="0.25">
      <c r="A12" s="7">
        <v>11</v>
      </c>
      <c r="B12" s="7" t="s">
        <v>6</v>
      </c>
      <c r="C12" s="8" t="s">
        <v>106</v>
      </c>
      <c r="D12" s="8" t="s">
        <v>107</v>
      </c>
      <c r="E12" s="7" t="s">
        <v>108</v>
      </c>
      <c r="F12" s="7" t="s">
        <v>63</v>
      </c>
      <c r="G12" s="7">
        <v>3</v>
      </c>
      <c r="H12" s="7">
        <v>4</v>
      </c>
      <c r="I12" s="7">
        <v>2</v>
      </c>
      <c r="J12" s="7" t="s">
        <v>104</v>
      </c>
      <c r="K12" s="7" t="s">
        <v>47</v>
      </c>
      <c r="L12" s="7" t="s">
        <v>65</v>
      </c>
      <c r="M12" s="8" t="s">
        <v>109</v>
      </c>
      <c r="N12" s="7" t="s">
        <v>47</v>
      </c>
    </row>
    <row r="13" spans="1:14" x14ac:dyDescent="0.25">
      <c r="A13" s="9">
        <v>12</v>
      </c>
      <c r="B13" s="9" t="s">
        <v>14</v>
      </c>
      <c r="C13" s="10" t="s">
        <v>110</v>
      </c>
      <c r="D13" s="10" t="s">
        <v>111</v>
      </c>
      <c r="E13" s="9" t="s">
        <v>112</v>
      </c>
      <c r="F13" s="9" t="s">
        <v>70</v>
      </c>
      <c r="G13" s="9">
        <v>0</v>
      </c>
      <c r="H13" s="9">
        <v>1</v>
      </c>
      <c r="I13" s="9">
        <v>3</v>
      </c>
      <c r="J13" s="9" t="s">
        <v>64</v>
      </c>
      <c r="K13" s="9" t="s">
        <v>47</v>
      </c>
      <c r="L13" s="9" t="s">
        <v>65</v>
      </c>
      <c r="M13" s="10" t="s">
        <v>113</v>
      </c>
      <c r="N13" s="9" t="s">
        <v>47</v>
      </c>
    </row>
    <row r="14" spans="1:14" x14ac:dyDescent="0.25">
      <c r="A14" s="9">
        <v>13</v>
      </c>
      <c r="B14" s="9" t="s">
        <v>14</v>
      </c>
      <c r="C14" s="10" t="s">
        <v>114</v>
      </c>
      <c r="D14" s="10" t="s">
        <v>115</v>
      </c>
      <c r="E14" s="9" t="s">
        <v>116</v>
      </c>
      <c r="F14" s="9" t="s">
        <v>70</v>
      </c>
      <c r="G14" s="9">
        <v>1</v>
      </c>
      <c r="H14" s="9">
        <v>1</v>
      </c>
      <c r="I14" s="9">
        <v>3</v>
      </c>
      <c r="J14" s="9" t="s">
        <v>64</v>
      </c>
      <c r="K14" s="9" t="s">
        <v>47</v>
      </c>
      <c r="L14" s="9" t="s">
        <v>65</v>
      </c>
      <c r="M14" s="10" t="s">
        <v>117</v>
      </c>
      <c r="N14" s="9" t="s">
        <v>47</v>
      </c>
    </row>
    <row r="15" spans="1:14" x14ac:dyDescent="0.25">
      <c r="A15" s="11">
        <v>14</v>
      </c>
      <c r="B15" s="11" t="s">
        <v>26</v>
      </c>
      <c r="C15" s="12" t="s">
        <v>118</v>
      </c>
      <c r="D15" s="12" t="s">
        <v>119</v>
      </c>
      <c r="E15" s="11" t="s">
        <v>120</v>
      </c>
      <c r="F15" s="11" t="s">
        <v>63</v>
      </c>
      <c r="G15" s="11">
        <v>1</v>
      </c>
      <c r="H15" s="11">
        <v>2</v>
      </c>
      <c r="I15" s="11">
        <v>1</v>
      </c>
      <c r="J15" s="11" t="s">
        <v>64</v>
      </c>
      <c r="K15" s="11" t="s">
        <v>47</v>
      </c>
      <c r="L15" s="11" t="s">
        <v>65</v>
      </c>
      <c r="M15" s="12" t="s">
        <v>121</v>
      </c>
      <c r="N15" s="11" t="s">
        <v>122</v>
      </c>
    </row>
    <row r="16" spans="1:14" x14ac:dyDescent="0.25">
      <c r="A16" s="11">
        <v>15</v>
      </c>
      <c r="B16" s="11" t="s">
        <v>26</v>
      </c>
      <c r="C16" s="12" t="s">
        <v>123</v>
      </c>
      <c r="D16" s="12" t="s">
        <v>124</v>
      </c>
      <c r="E16" s="11" t="s">
        <v>125</v>
      </c>
      <c r="F16" s="11" t="s">
        <v>63</v>
      </c>
      <c r="G16" s="11">
        <v>5</v>
      </c>
      <c r="H16" s="11">
        <v>7</v>
      </c>
      <c r="I16" s="11">
        <v>5</v>
      </c>
      <c r="J16" s="11" t="s">
        <v>64</v>
      </c>
      <c r="K16" s="11" t="s">
        <v>47</v>
      </c>
      <c r="L16" s="11" t="s">
        <v>65</v>
      </c>
      <c r="M16" s="12" t="s">
        <v>126</v>
      </c>
      <c r="N16" s="11" t="s">
        <v>127</v>
      </c>
    </row>
    <row r="17" spans="1:14" x14ac:dyDescent="0.25">
      <c r="A17" s="9">
        <v>16</v>
      </c>
      <c r="B17" s="9" t="s">
        <v>14</v>
      </c>
      <c r="C17" s="10" t="s">
        <v>128</v>
      </c>
      <c r="D17" s="10" t="s">
        <v>129</v>
      </c>
      <c r="E17" s="9" t="s">
        <v>130</v>
      </c>
      <c r="F17" s="9" t="s">
        <v>70</v>
      </c>
      <c r="G17" s="9">
        <v>1</v>
      </c>
      <c r="H17" s="9">
        <v>2</v>
      </c>
      <c r="I17" s="9">
        <v>4</v>
      </c>
      <c r="J17" s="9" t="s">
        <v>64</v>
      </c>
      <c r="K17" s="9" t="s">
        <v>47</v>
      </c>
      <c r="L17" s="9" t="s">
        <v>65</v>
      </c>
      <c r="M17" s="10" t="s">
        <v>131</v>
      </c>
      <c r="N17" s="9" t="s">
        <v>47</v>
      </c>
    </row>
    <row r="18" spans="1:14" x14ac:dyDescent="0.25">
      <c r="A18" s="9">
        <v>17</v>
      </c>
      <c r="B18" s="9" t="s">
        <v>14</v>
      </c>
      <c r="C18" s="10" t="s">
        <v>132</v>
      </c>
      <c r="D18" s="10" t="s">
        <v>133</v>
      </c>
      <c r="E18" s="9" t="s">
        <v>134</v>
      </c>
      <c r="F18" s="9" t="s">
        <v>63</v>
      </c>
      <c r="G18" s="9">
        <v>1</v>
      </c>
      <c r="H18" s="9">
        <v>2</v>
      </c>
      <c r="I18" s="9">
        <v>5</v>
      </c>
      <c r="J18" s="9" t="s">
        <v>64</v>
      </c>
      <c r="K18" s="9" t="s">
        <v>47</v>
      </c>
      <c r="L18" s="9" t="s">
        <v>65</v>
      </c>
      <c r="M18" s="10" t="s">
        <v>135</v>
      </c>
      <c r="N18" s="9" t="s">
        <v>136</v>
      </c>
    </row>
    <row r="19" spans="1:14" x14ac:dyDescent="0.25">
      <c r="A19" s="9">
        <v>18</v>
      </c>
      <c r="B19" s="9" t="s">
        <v>14</v>
      </c>
      <c r="C19" s="10" t="s">
        <v>137</v>
      </c>
      <c r="D19" s="10" t="s">
        <v>138</v>
      </c>
      <c r="E19" s="9" t="s">
        <v>139</v>
      </c>
      <c r="F19" s="9" t="s">
        <v>70</v>
      </c>
      <c r="G19" s="9">
        <v>1</v>
      </c>
      <c r="H19" s="9">
        <v>2</v>
      </c>
      <c r="I19" s="9">
        <v>4</v>
      </c>
      <c r="J19" s="9" t="s">
        <v>64</v>
      </c>
      <c r="K19" s="9" t="s">
        <v>47</v>
      </c>
      <c r="L19" s="9" t="s">
        <v>65</v>
      </c>
      <c r="M19" s="10" t="s">
        <v>140</v>
      </c>
      <c r="N19" s="9" t="s">
        <v>47</v>
      </c>
    </row>
    <row r="20" spans="1:14" x14ac:dyDescent="0.25">
      <c r="A20" s="13">
        <v>19</v>
      </c>
      <c r="B20" s="13" t="s">
        <v>18</v>
      </c>
      <c r="C20" s="14" t="s">
        <v>141</v>
      </c>
      <c r="D20" s="14" t="s">
        <v>142</v>
      </c>
      <c r="E20" s="13" t="s">
        <v>143</v>
      </c>
      <c r="F20" s="13" t="s">
        <v>47</v>
      </c>
      <c r="G20" s="13">
        <v>1</v>
      </c>
      <c r="H20" s="13">
        <v>2</v>
      </c>
      <c r="I20" s="13">
        <v>2</v>
      </c>
      <c r="J20" s="13" t="s">
        <v>64</v>
      </c>
      <c r="K20" s="13" t="s">
        <v>47</v>
      </c>
      <c r="L20" s="13" t="s">
        <v>65</v>
      </c>
      <c r="M20" s="14" t="s">
        <v>144</v>
      </c>
      <c r="N20" s="13" t="s">
        <v>47</v>
      </c>
    </row>
    <row r="21" spans="1:14" x14ac:dyDescent="0.25">
      <c r="A21" s="15">
        <v>20</v>
      </c>
      <c r="B21" s="15" t="s">
        <v>22</v>
      </c>
      <c r="C21" s="16" t="s">
        <v>145</v>
      </c>
      <c r="D21" s="16" t="s">
        <v>146</v>
      </c>
      <c r="E21" s="15" t="s">
        <v>147</v>
      </c>
      <c r="F21" s="15" t="s">
        <v>63</v>
      </c>
      <c r="G21" s="15">
        <v>1</v>
      </c>
      <c r="H21" s="15">
        <v>2</v>
      </c>
      <c r="I21" s="15">
        <v>3</v>
      </c>
      <c r="J21" s="15" t="s">
        <v>64</v>
      </c>
      <c r="K21" s="15" t="s">
        <v>47</v>
      </c>
      <c r="L21" s="15" t="s">
        <v>65</v>
      </c>
      <c r="M21" s="16" t="s">
        <v>148</v>
      </c>
      <c r="N21" s="15" t="s">
        <v>47</v>
      </c>
    </row>
    <row r="22" spans="1:14" x14ac:dyDescent="0.25">
      <c r="A22" s="13">
        <v>21</v>
      </c>
      <c r="B22" s="13" t="s">
        <v>18</v>
      </c>
      <c r="C22" s="14" t="s">
        <v>149</v>
      </c>
      <c r="D22" s="14" t="s">
        <v>150</v>
      </c>
      <c r="E22" s="13" t="s">
        <v>151</v>
      </c>
      <c r="F22" s="13" t="s">
        <v>63</v>
      </c>
      <c r="G22" s="13">
        <v>1</v>
      </c>
      <c r="H22" s="13">
        <v>2</v>
      </c>
      <c r="I22" s="13">
        <v>2</v>
      </c>
      <c r="J22" s="13" t="s">
        <v>104</v>
      </c>
      <c r="K22" s="13" t="s">
        <v>47</v>
      </c>
      <c r="L22" s="13" t="s">
        <v>65</v>
      </c>
      <c r="M22" s="14" t="s">
        <v>152</v>
      </c>
      <c r="N22" s="13" t="s">
        <v>47</v>
      </c>
    </row>
    <row r="23" spans="1:14" x14ac:dyDescent="0.25">
      <c r="A23" s="15">
        <v>22</v>
      </c>
      <c r="B23" s="15" t="s">
        <v>22</v>
      </c>
      <c r="C23" s="16" t="s">
        <v>153</v>
      </c>
      <c r="D23" s="16" t="s">
        <v>154</v>
      </c>
      <c r="E23" s="15" t="s">
        <v>155</v>
      </c>
      <c r="F23" s="15" t="s">
        <v>63</v>
      </c>
      <c r="G23" s="15">
        <v>1</v>
      </c>
      <c r="H23" s="15">
        <v>2</v>
      </c>
      <c r="I23" s="15">
        <v>4</v>
      </c>
      <c r="J23" s="15" t="s">
        <v>64</v>
      </c>
      <c r="K23" s="15" t="s">
        <v>47</v>
      </c>
      <c r="L23" s="15" t="s">
        <v>65</v>
      </c>
      <c r="M23" s="16" t="s">
        <v>156</v>
      </c>
      <c r="N23" s="15" t="s">
        <v>157</v>
      </c>
    </row>
    <row r="24" spans="1:14" x14ac:dyDescent="0.25">
      <c r="A24" s="17">
        <v>23</v>
      </c>
      <c r="B24" s="17" t="s">
        <v>30</v>
      </c>
      <c r="C24" s="18" t="s">
        <v>158</v>
      </c>
      <c r="D24" s="18" t="s">
        <v>159</v>
      </c>
      <c r="E24" s="17" t="s">
        <v>160</v>
      </c>
      <c r="F24" s="17" t="s">
        <v>70</v>
      </c>
      <c r="G24" s="17">
        <v>1</v>
      </c>
      <c r="H24" s="17">
        <v>2</v>
      </c>
      <c r="I24" s="17">
        <v>2</v>
      </c>
      <c r="J24" s="17" t="s">
        <v>64</v>
      </c>
      <c r="K24" s="17" t="s">
        <v>47</v>
      </c>
      <c r="L24" s="17" t="s">
        <v>65</v>
      </c>
      <c r="M24" s="18" t="s">
        <v>161</v>
      </c>
      <c r="N24" s="17" t="s">
        <v>47</v>
      </c>
    </row>
    <row r="25" spans="1:14" x14ac:dyDescent="0.25">
      <c r="A25" s="17">
        <v>24</v>
      </c>
      <c r="B25" s="17" t="s">
        <v>30</v>
      </c>
      <c r="C25" s="18" t="s">
        <v>162</v>
      </c>
      <c r="D25" s="18" t="s">
        <v>163</v>
      </c>
      <c r="E25" s="17" t="s">
        <v>164</v>
      </c>
      <c r="F25" s="17" t="s">
        <v>63</v>
      </c>
      <c r="G25" s="17">
        <v>1</v>
      </c>
      <c r="H25" s="17">
        <v>2</v>
      </c>
      <c r="I25" s="17">
        <v>3</v>
      </c>
      <c r="J25" s="17" t="s">
        <v>64</v>
      </c>
      <c r="K25" s="17" t="s">
        <v>47</v>
      </c>
      <c r="L25" s="17" t="s">
        <v>65</v>
      </c>
      <c r="M25" s="18" t="s">
        <v>165</v>
      </c>
      <c r="N25" s="17" t="s">
        <v>47</v>
      </c>
    </row>
    <row r="26" spans="1:14" x14ac:dyDescent="0.25">
      <c r="A26" s="9">
        <v>25</v>
      </c>
      <c r="B26" s="9" t="s">
        <v>14</v>
      </c>
      <c r="C26" s="10" t="s">
        <v>166</v>
      </c>
      <c r="D26" s="10" t="s">
        <v>167</v>
      </c>
      <c r="E26" s="9" t="s">
        <v>168</v>
      </c>
      <c r="F26" s="9" t="s">
        <v>63</v>
      </c>
      <c r="G26" s="9">
        <v>2</v>
      </c>
      <c r="H26" s="9">
        <v>3</v>
      </c>
      <c r="I26" s="9">
        <v>4</v>
      </c>
      <c r="J26" s="9" t="s">
        <v>64</v>
      </c>
      <c r="K26" s="9" t="s">
        <v>47</v>
      </c>
      <c r="L26" s="9" t="s">
        <v>65</v>
      </c>
      <c r="M26" s="10" t="s">
        <v>169</v>
      </c>
      <c r="N26" s="9" t="s">
        <v>47</v>
      </c>
    </row>
    <row r="27" spans="1:14" x14ac:dyDescent="0.25">
      <c r="A27" s="9">
        <v>26</v>
      </c>
      <c r="B27" s="9" t="s">
        <v>14</v>
      </c>
      <c r="C27" s="10" t="s">
        <v>170</v>
      </c>
      <c r="D27" s="10" t="s">
        <v>171</v>
      </c>
      <c r="E27" s="9" t="s">
        <v>172</v>
      </c>
      <c r="F27" s="9" t="s">
        <v>63</v>
      </c>
      <c r="G27" s="9">
        <v>2</v>
      </c>
      <c r="H27" s="9">
        <v>3</v>
      </c>
      <c r="I27" s="9">
        <v>2</v>
      </c>
      <c r="J27" s="9" t="s">
        <v>64</v>
      </c>
      <c r="K27" s="9" t="s">
        <v>47</v>
      </c>
      <c r="L27" s="9" t="s">
        <v>65</v>
      </c>
      <c r="M27" s="10" t="s">
        <v>173</v>
      </c>
      <c r="N27" s="9" t="s">
        <v>47</v>
      </c>
    </row>
    <row r="28" spans="1:14" x14ac:dyDescent="0.25">
      <c r="A28" s="9">
        <v>27</v>
      </c>
      <c r="B28" s="9" t="s">
        <v>14</v>
      </c>
      <c r="C28" s="10" t="s">
        <v>174</v>
      </c>
      <c r="D28" s="10" t="s">
        <v>175</v>
      </c>
      <c r="E28" s="9" t="s">
        <v>176</v>
      </c>
      <c r="F28" s="9" t="s">
        <v>63</v>
      </c>
      <c r="G28" s="9">
        <v>2</v>
      </c>
      <c r="H28" s="9">
        <v>3</v>
      </c>
      <c r="I28" s="9">
        <v>2</v>
      </c>
      <c r="J28" s="9" t="s">
        <v>64</v>
      </c>
      <c r="K28" s="9" t="s">
        <v>47</v>
      </c>
      <c r="L28" s="9" t="s">
        <v>65</v>
      </c>
      <c r="M28" s="10" t="s">
        <v>177</v>
      </c>
      <c r="N28" s="9" t="s">
        <v>47</v>
      </c>
    </row>
    <row r="29" spans="1:14" x14ac:dyDescent="0.25">
      <c r="A29" s="9">
        <v>28</v>
      </c>
      <c r="B29" s="9" t="s">
        <v>14</v>
      </c>
      <c r="C29" s="10" t="s">
        <v>178</v>
      </c>
      <c r="D29" s="10" t="s">
        <v>179</v>
      </c>
      <c r="E29" s="9" t="s">
        <v>180</v>
      </c>
      <c r="F29" s="9" t="s">
        <v>63</v>
      </c>
      <c r="G29" s="9">
        <v>2</v>
      </c>
      <c r="H29" s="9">
        <v>3</v>
      </c>
      <c r="I29" s="9">
        <v>3</v>
      </c>
      <c r="J29" s="9" t="s">
        <v>64</v>
      </c>
      <c r="K29" s="9" t="s">
        <v>47</v>
      </c>
      <c r="L29" s="9" t="s">
        <v>65</v>
      </c>
      <c r="M29" s="10" t="s">
        <v>181</v>
      </c>
      <c r="N29" s="9" t="s">
        <v>47</v>
      </c>
    </row>
    <row r="30" spans="1:14" x14ac:dyDescent="0.25">
      <c r="A30" s="9">
        <v>29</v>
      </c>
      <c r="B30" s="9" t="s">
        <v>14</v>
      </c>
      <c r="C30" s="10" t="s">
        <v>182</v>
      </c>
      <c r="D30" s="10" t="s">
        <v>183</v>
      </c>
      <c r="E30" s="9" t="s">
        <v>184</v>
      </c>
      <c r="F30" s="9" t="s">
        <v>70</v>
      </c>
      <c r="G30" s="9">
        <v>2</v>
      </c>
      <c r="H30" s="9">
        <v>3</v>
      </c>
      <c r="I30" s="9">
        <v>2</v>
      </c>
      <c r="J30" s="9" t="s">
        <v>64</v>
      </c>
      <c r="K30" s="9" t="s">
        <v>47</v>
      </c>
      <c r="L30" s="9" t="s">
        <v>65</v>
      </c>
      <c r="M30" s="10" t="s">
        <v>185</v>
      </c>
      <c r="N30" s="9" t="s">
        <v>47</v>
      </c>
    </row>
    <row r="31" spans="1:14" x14ac:dyDescent="0.25">
      <c r="A31" s="13">
        <v>30</v>
      </c>
      <c r="B31" s="13" t="s">
        <v>18</v>
      </c>
      <c r="C31" s="14" t="s">
        <v>186</v>
      </c>
      <c r="D31" s="14" t="s">
        <v>187</v>
      </c>
      <c r="E31" s="13" t="s">
        <v>188</v>
      </c>
      <c r="F31" s="13" t="s">
        <v>63</v>
      </c>
      <c r="G31" s="13">
        <v>2</v>
      </c>
      <c r="H31" s="13">
        <v>3</v>
      </c>
      <c r="I31" s="13">
        <v>4</v>
      </c>
      <c r="J31" s="13" t="s">
        <v>64</v>
      </c>
      <c r="K31" s="13" t="s">
        <v>47</v>
      </c>
      <c r="L31" s="13" t="s">
        <v>65</v>
      </c>
      <c r="M31" s="14" t="s">
        <v>189</v>
      </c>
      <c r="N31" s="13" t="s">
        <v>47</v>
      </c>
    </row>
    <row r="32" spans="1:14" x14ac:dyDescent="0.25">
      <c r="A32" s="13">
        <v>31</v>
      </c>
      <c r="B32" s="13" t="s">
        <v>18</v>
      </c>
      <c r="C32" s="14" t="s">
        <v>190</v>
      </c>
      <c r="D32" s="14" t="s">
        <v>191</v>
      </c>
      <c r="E32" s="13" t="s">
        <v>192</v>
      </c>
      <c r="F32" s="13" t="s">
        <v>70</v>
      </c>
      <c r="G32" s="13">
        <v>2</v>
      </c>
      <c r="H32" s="13">
        <v>3</v>
      </c>
      <c r="I32" s="13">
        <v>2</v>
      </c>
      <c r="J32" s="13" t="s">
        <v>64</v>
      </c>
      <c r="K32" s="13" t="s">
        <v>47</v>
      </c>
      <c r="L32" s="13" t="s">
        <v>65</v>
      </c>
      <c r="M32" s="14" t="s">
        <v>193</v>
      </c>
      <c r="N32" s="13" t="s">
        <v>47</v>
      </c>
    </row>
    <row r="33" spans="1:14" x14ac:dyDescent="0.25">
      <c r="A33" s="15">
        <v>32</v>
      </c>
      <c r="B33" s="15" t="s">
        <v>22</v>
      </c>
      <c r="C33" s="16" t="s">
        <v>194</v>
      </c>
      <c r="D33" s="16" t="s">
        <v>195</v>
      </c>
      <c r="E33" s="15" t="s">
        <v>196</v>
      </c>
      <c r="F33" s="15" t="s">
        <v>70</v>
      </c>
      <c r="G33" s="15">
        <v>2</v>
      </c>
      <c r="H33" s="15">
        <v>3</v>
      </c>
      <c r="I33" s="15">
        <v>4</v>
      </c>
      <c r="J33" s="15" t="s">
        <v>64</v>
      </c>
      <c r="K33" s="15" t="s">
        <v>47</v>
      </c>
      <c r="L33" s="15" t="s">
        <v>65</v>
      </c>
      <c r="M33" s="16" t="s">
        <v>197</v>
      </c>
      <c r="N33" s="15" t="s">
        <v>47</v>
      </c>
    </row>
    <row r="34" spans="1:14" x14ac:dyDescent="0.25">
      <c r="A34" s="11">
        <v>33</v>
      </c>
      <c r="B34" s="11" t="s">
        <v>26</v>
      </c>
      <c r="C34" s="12" t="s">
        <v>198</v>
      </c>
      <c r="D34" s="12" t="s">
        <v>199</v>
      </c>
      <c r="E34" s="11" t="s">
        <v>200</v>
      </c>
      <c r="F34" s="11" t="s">
        <v>63</v>
      </c>
      <c r="G34" s="11">
        <v>5</v>
      </c>
      <c r="H34" s="11">
        <v>7</v>
      </c>
      <c r="I34" s="11">
        <v>5</v>
      </c>
      <c r="J34" s="11" t="s">
        <v>64</v>
      </c>
      <c r="K34" s="11" t="s">
        <v>47</v>
      </c>
      <c r="L34" s="11" t="s">
        <v>65</v>
      </c>
      <c r="M34" s="12" t="s">
        <v>201</v>
      </c>
      <c r="N34" s="11" t="s">
        <v>202</v>
      </c>
    </row>
    <row r="35" spans="1:14" x14ac:dyDescent="0.25">
      <c r="A35" s="17">
        <v>34</v>
      </c>
      <c r="B35" s="17" t="s">
        <v>30</v>
      </c>
      <c r="C35" s="18" t="s">
        <v>203</v>
      </c>
      <c r="D35" s="18" t="s">
        <v>204</v>
      </c>
      <c r="E35" s="17" t="s">
        <v>205</v>
      </c>
      <c r="F35" s="17" t="s">
        <v>63</v>
      </c>
      <c r="G35" s="17">
        <v>2</v>
      </c>
      <c r="H35" s="17">
        <v>3</v>
      </c>
      <c r="I35" s="17">
        <v>1</v>
      </c>
      <c r="J35" s="17" t="s">
        <v>104</v>
      </c>
      <c r="K35" s="17" t="s">
        <v>47</v>
      </c>
      <c r="L35" s="17" t="s">
        <v>65</v>
      </c>
      <c r="M35" s="18" t="s">
        <v>206</v>
      </c>
      <c r="N35" s="17" t="s">
        <v>47</v>
      </c>
    </row>
    <row r="36" spans="1:14" x14ac:dyDescent="0.25">
      <c r="A36" s="19">
        <v>35</v>
      </c>
      <c r="B36" s="19" t="s">
        <v>10</v>
      </c>
      <c r="C36" s="20" t="s">
        <v>207</v>
      </c>
      <c r="D36" s="20" t="s">
        <v>208</v>
      </c>
      <c r="E36" s="19" t="s">
        <v>209</v>
      </c>
      <c r="F36" s="19" t="s">
        <v>63</v>
      </c>
      <c r="G36" s="19">
        <v>3</v>
      </c>
      <c r="H36" s="19">
        <v>4</v>
      </c>
      <c r="I36" s="19">
        <v>4</v>
      </c>
      <c r="J36" s="19" t="s">
        <v>64</v>
      </c>
      <c r="K36" s="19" t="s">
        <v>47</v>
      </c>
      <c r="L36" s="19" t="s">
        <v>65</v>
      </c>
      <c r="M36" s="20" t="s">
        <v>210</v>
      </c>
      <c r="N36" s="19" t="s">
        <v>47</v>
      </c>
    </row>
    <row r="37" spans="1:14" x14ac:dyDescent="0.25">
      <c r="A37" s="19">
        <v>36</v>
      </c>
      <c r="B37" s="19" t="s">
        <v>10</v>
      </c>
      <c r="C37" s="20" t="s">
        <v>211</v>
      </c>
      <c r="D37" s="20" t="s">
        <v>212</v>
      </c>
      <c r="E37" s="19" t="s">
        <v>213</v>
      </c>
      <c r="F37" s="19" t="s">
        <v>63</v>
      </c>
      <c r="G37" s="19">
        <v>3</v>
      </c>
      <c r="H37" s="19">
        <v>4</v>
      </c>
      <c r="I37" s="19">
        <v>4</v>
      </c>
      <c r="J37" s="19" t="s">
        <v>64</v>
      </c>
      <c r="K37" s="19" t="s">
        <v>47</v>
      </c>
      <c r="L37" s="19" t="s">
        <v>65</v>
      </c>
      <c r="M37" s="20" t="s">
        <v>214</v>
      </c>
      <c r="N37" s="19" t="s">
        <v>47</v>
      </c>
    </row>
    <row r="38" spans="1:14" x14ac:dyDescent="0.25">
      <c r="A38" s="19">
        <v>37</v>
      </c>
      <c r="B38" s="19" t="s">
        <v>10</v>
      </c>
      <c r="C38" s="20" t="s">
        <v>215</v>
      </c>
      <c r="D38" s="20" t="s">
        <v>216</v>
      </c>
      <c r="E38" s="19" t="s">
        <v>217</v>
      </c>
      <c r="F38" s="19" t="s">
        <v>63</v>
      </c>
      <c r="G38" s="19">
        <v>3</v>
      </c>
      <c r="H38" s="19">
        <v>4</v>
      </c>
      <c r="I38" s="19">
        <v>2</v>
      </c>
      <c r="J38" s="19" t="s">
        <v>104</v>
      </c>
      <c r="K38" s="19" t="s">
        <v>47</v>
      </c>
      <c r="L38" s="19" t="s">
        <v>65</v>
      </c>
      <c r="M38" s="20" t="s">
        <v>218</v>
      </c>
      <c r="N38" s="19" t="s">
        <v>47</v>
      </c>
    </row>
    <row r="39" spans="1:14" x14ac:dyDescent="0.25">
      <c r="A39" s="9">
        <v>38</v>
      </c>
      <c r="B39" s="9" t="s">
        <v>14</v>
      </c>
      <c r="C39" s="10" t="s">
        <v>219</v>
      </c>
      <c r="D39" s="10" t="s">
        <v>220</v>
      </c>
      <c r="E39" s="9" t="s">
        <v>221</v>
      </c>
      <c r="F39" s="9" t="s">
        <v>70</v>
      </c>
      <c r="G39" s="9">
        <v>3</v>
      </c>
      <c r="H39" s="9">
        <v>4</v>
      </c>
      <c r="I39" s="9">
        <v>1</v>
      </c>
      <c r="J39" s="9" t="s">
        <v>104</v>
      </c>
      <c r="K39" s="9" t="s">
        <v>47</v>
      </c>
      <c r="L39" s="9" t="s">
        <v>65</v>
      </c>
      <c r="M39" s="10" t="s">
        <v>222</v>
      </c>
      <c r="N39" s="9" t="s">
        <v>47</v>
      </c>
    </row>
    <row r="40" spans="1:14" x14ac:dyDescent="0.25">
      <c r="A40" s="13">
        <v>39</v>
      </c>
      <c r="B40" s="13" t="s">
        <v>18</v>
      </c>
      <c r="C40" s="14" t="s">
        <v>223</v>
      </c>
      <c r="D40" s="14" t="s">
        <v>224</v>
      </c>
      <c r="E40" s="13" t="s">
        <v>225</v>
      </c>
      <c r="F40" s="13" t="s">
        <v>63</v>
      </c>
      <c r="G40" s="13">
        <v>3</v>
      </c>
      <c r="H40" s="13">
        <v>4</v>
      </c>
      <c r="I40" s="13">
        <v>3</v>
      </c>
      <c r="J40" s="13" t="s">
        <v>64</v>
      </c>
      <c r="K40" s="13" t="s">
        <v>47</v>
      </c>
      <c r="L40" s="13" t="s">
        <v>65</v>
      </c>
      <c r="M40" s="14" t="s">
        <v>226</v>
      </c>
      <c r="N40" s="13" t="s">
        <v>47</v>
      </c>
    </row>
    <row r="41" spans="1:14" x14ac:dyDescent="0.25">
      <c r="A41" s="13">
        <v>40</v>
      </c>
      <c r="B41" s="13" t="s">
        <v>18</v>
      </c>
      <c r="C41" s="14" t="s">
        <v>227</v>
      </c>
      <c r="D41" s="14" t="s">
        <v>228</v>
      </c>
      <c r="E41" s="13" t="s">
        <v>229</v>
      </c>
      <c r="F41" s="13" t="s">
        <v>63</v>
      </c>
      <c r="G41" s="13">
        <v>3</v>
      </c>
      <c r="H41" s="13">
        <v>4</v>
      </c>
      <c r="I41" s="13">
        <v>3</v>
      </c>
      <c r="J41" s="13" t="s">
        <v>104</v>
      </c>
      <c r="K41" s="13" t="s">
        <v>47</v>
      </c>
      <c r="L41" s="13" t="s">
        <v>65</v>
      </c>
      <c r="M41" s="14" t="s">
        <v>230</v>
      </c>
      <c r="N41" s="13" t="s">
        <v>47</v>
      </c>
    </row>
    <row r="42" spans="1:14" x14ac:dyDescent="0.25">
      <c r="A42" s="9">
        <v>41</v>
      </c>
      <c r="B42" s="9" t="s">
        <v>14</v>
      </c>
      <c r="C42" s="10" t="s">
        <v>231</v>
      </c>
      <c r="D42" s="10" t="s">
        <v>232</v>
      </c>
      <c r="E42" s="9" t="s">
        <v>233</v>
      </c>
      <c r="F42" s="9" t="s">
        <v>63</v>
      </c>
      <c r="G42" s="9">
        <v>3</v>
      </c>
      <c r="H42" s="9">
        <v>4</v>
      </c>
      <c r="I42" s="9">
        <v>3</v>
      </c>
      <c r="J42" s="9" t="s">
        <v>104</v>
      </c>
      <c r="K42" s="9" t="s">
        <v>47</v>
      </c>
      <c r="L42" s="9" t="s">
        <v>65</v>
      </c>
      <c r="M42" s="10" t="s">
        <v>234</v>
      </c>
      <c r="N42" s="9" t="s">
        <v>47</v>
      </c>
    </row>
    <row r="43" spans="1:14" x14ac:dyDescent="0.25">
      <c r="A43" s="21">
        <v>42</v>
      </c>
      <c r="B43" s="21" t="s">
        <v>37</v>
      </c>
      <c r="C43" s="22" t="s">
        <v>235</v>
      </c>
      <c r="D43" s="22" t="s">
        <v>236</v>
      </c>
      <c r="E43" s="21" t="s">
        <v>237</v>
      </c>
      <c r="F43" s="21" t="s">
        <v>63</v>
      </c>
      <c r="G43" s="21">
        <v>4</v>
      </c>
      <c r="H43" s="21">
        <v>5</v>
      </c>
      <c r="I43" s="21">
        <v>10</v>
      </c>
      <c r="J43" s="21" t="s">
        <v>64</v>
      </c>
      <c r="K43" s="21" t="s">
        <v>47</v>
      </c>
      <c r="L43" s="21" t="s">
        <v>65</v>
      </c>
      <c r="M43" s="22" t="s">
        <v>238</v>
      </c>
      <c r="N43" s="21" t="s">
        <v>239</v>
      </c>
    </row>
    <row r="44" spans="1:14" x14ac:dyDescent="0.25">
      <c r="A44" s="21">
        <v>43</v>
      </c>
      <c r="B44" s="21" t="s">
        <v>37</v>
      </c>
      <c r="C44" s="22" t="s">
        <v>240</v>
      </c>
      <c r="D44" s="22" t="s">
        <v>241</v>
      </c>
      <c r="E44" s="21" t="s">
        <v>242</v>
      </c>
      <c r="F44" s="21" t="s">
        <v>63</v>
      </c>
      <c r="G44" s="21">
        <v>4</v>
      </c>
      <c r="H44" s="21">
        <v>5</v>
      </c>
      <c r="I44" s="21">
        <v>4</v>
      </c>
      <c r="J44" s="21" t="s">
        <v>64</v>
      </c>
      <c r="K44" s="21" t="s">
        <v>47</v>
      </c>
      <c r="L44" s="21" t="s">
        <v>65</v>
      </c>
      <c r="M44" s="22" t="s">
        <v>243</v>
      </c>
      <c r="N44" s="21" t="s">
        <v>47</v>
      </c>
    </row>
    <row r="45" spans="1:14" x14ac:dyDescent="0.25">
      <c r="A45" s="21">
        <v>44</v>
      </c>
      <c r="B45" s="21" t="s">
        <v>37</v>
      </c>
      <c r="C45" s="22" t="s">
        <v>244</v>
      </c>
      <c r="D45" s="22" t="s">
        <v>245</v>
      </c>
      <c r="E45" s="21" t="s">
        <v>246</v>
      </c>
      <c r="F45" s="21" t="s">
        <v>63</v>
      </c>
      <c r="G45" s="21">
        <v>4</v>
      </c>
      <c r="H45" s="21">
        <v>6</v>
      </c>
      <c r="I45" s="21">
        <v>4</v>
      </c>
      <c r="J45" s="21" t="s">
        <v>64</v>
      </c>
      <c r="K45" s="21" t="s">
        <v>47</v>
      </c>
      <c r="L45" s="21" t="s">
        <v>65</v>
      </c>
      <c r="M45" s="22" t="s">
        <v>247</v>
      </c>
      <c r="N45" s="21" t="s">
        <v>47</v>
      </c>
    </row>
    <row r="46" spans="1:14" x14ac:dyDescent="0.25">
      <c r="A46" s="21">
        <v>45</v>
      </c>
      <c r="B46" s="21" t="s">
        <v>37</v>
      </c>
      <c r="C46" s="22" t="s">
        <v>248</v>
      </c>
      <c r="D46" s="22" t="s">
        <v>249</v>
      </c>
      <c r="E46" s="21" t="s">
        <v>250</v>
      </c>
      <c r="F46" s="21" t="s">
        <v>70</v>
      </c>
      <c r="G46" s="21">
        <v>4</v>
      </c>
      <c r="H46" s="21">
        <v>6</v>
      </c>
      <c r="I46" s="21">
        <v>3</v>
      </c>
      <c r="J46" s="21" t="s">
        <v>104</v>
      </c>
      <c r="K46" s="21" t="s">
        <v>47</v>
      </c>
      <c r="L46" s="21" t="s">
        <v>65</v>
      </c>
      <c r="M46" s="22" t="s">
        <v>251</v>
      </c>
      <c r="N46" s="21" t="s">
        <v>47</v>
      </c>
    </row>
    <row r="47" spans="1:14" x14ac:dyDescent="0.25">
      <c r="A47" s="21">
        <v>46</v>
      </c>
      <c r="B47" s="21" t="s">
        <v>37</v>
      </c>
      <c r="C47" s="22" t="s">
        <v>252</v>
      </c>
      <c r="D47" s="22" t="s">
        <v>253</v>
      </c>
      <c r="E47" s="21" t="s">
        <v>254</v>
      </c>
      <c r="F47" s="21" t="s">
        <v>63</v>
      </c>
      <c r="G47" s="21">
        <v>4</v>
      </c>
      <c r="H47" s="21">
        <v>7</v>
      </c>
      <c r="I47" s="21">
        <v>2</v>
      </c>
      <c r="J47" s="21" t="s">
        <v>64</v>
      </c>
      <c r="K47" s="21" t="s">
        <v>47</v>
      </c>
      <c r="L47" s="21" t="s">
        <v>65</v>
      </c>
      <c r="M47" s="22" t="s">
        <v>255</v>
      </c>
      <c r="N47" s="21" t="s">
        <v>47</v>
      </c>
    </row>
    <row r="48" spans="1:14" x14ac:dyDescent="0.25">
      <c r="A48" s="5">
        <v>47</v>
      </c>
      <c r="B48" s="5" t="s">
        <v>41</v>
      </c>
      <c r="C48" s="6" t="s">
        <v>256</v>
      </c>
      <c r="D48" s="6" t="s">
        <v>257</v>
      </c>
      <c r="E48" s="5" t="s">
        <v>258</v>
      </c>
      <c r="F48" s="5" t="s">
        <v>63</v>
      </c>
      <c r="G48" s="5">
        <v>4</v>
      </c>
      <c r="H48" s="5">
        <v>7</v>
      </c>
      <c r="I48" s="5">
        <v>2</v>
      </c>
      <c r="J48" s="5" t="s">
        <v>64</v>
      </c>
      <c r="K48" s="5" t="s">
        <v>47</v>
      </c>
      <c r="L48" s="5" t="s">
        <v>65</v>
      </c>
      <c r="M48" s="6" t="s">
        <v>259</v>
      </c>
      <c r="N48" s="5" t="s">
        <v>47</v>
      </c>
    </row>
    <row r="49" spans="1:14" x14ac:dyDescent="0.25">
      <c r="A49" s="5">
        <v>48</v>
      </c>
      <c r="B49" s="5" t="s">
        <v>41</v>
      </c>
      <c r="C49" s="6" t="s">
        <v>260</v>
      </c>
      <c r="D49" s="6" t="s">
        <v>261</v>
      </c>
      <c r="E49" s="5" t="s">
        <v>262</v>
      </c>
      <c r="F49" s="5" t="s">
        <v>63</v>
      </c>
      <c r="G49" s="5">
        <v>5</v>
      </c>
      <c r="H49" s="5">
        <v>7</v>
      </c>
      <c r="I49" s="5">
        <v>2</v>
      </c>
      <c r="J49" s="5" t="s">
        <v>64</v>
      </c>
      <c r="K49" s="5" t="s">
        <v>47</v>
      </c>
      <c r="L49" s="5" t="s">
        <v>65</v>
      </c>
      <c r="M49" s="6" t="s">
        <v>263</v>
      </c>
      <c r="N49" s="5" t="s">
        <v>47</v>
      </c>
    </row>
    <row r="50" spans="1:14" x14ac:dyDescent="0.25">
      <c r="A50" s="5">
        <v>49</v>
      </c>
      <c r="B50" s="5" t="s">
        <v>41</v>
      </c>
      <c r="C50" s="6" t="s">
        <v>264</v>
      </c>
      <c r="D50" s="6" t="s">
        <v>265</v>
      </c>
      <c r="E50" s="5" t="s">
        <v>69</v>
      </c>
      <c r="F50" s="5" t="s">
        <v>63</v>
      </c>
      <c r="G50" s="5">
        <v>5</v>
      </c>
      <c r="H50" s="5">
        <v>8</v>
      </c>
      <c r="I50" s="5">
        <v>4</v>
      </c>
      <c r="J50" s="5" t="s">
        <v>64</v>
      </c>
      <c r="K50" s="5" t="s">
        <v>47</v>
      </c>
      <c r="L50" s="5" t="s">
        <v>65</v>
      </c>
      <c r="M50" s="6" t="s">
        <v>266</v>
      </c>
      <c r="N50" s="5" t="s">
        <v>47</v>
      </c>
    </row>
    <row r="51" spans="1:14" x14ac:dyDescent="0.25">
      <c r="A51" s="3">
        <v>50</v>
      </c>
      <c r="B51" s="3" t="s">
        <v>34</v>
      </c>
      <c r="C51" s="4" t="s">
        <v>267</v>
      </c>
      <c r="D51" s="4" t="s">
        <v>268</v>
      </c>
      <c r="E51" s="3" t="s">
        <v>269</v>
      </c>
      <c r="F51" s="3" t="s">
        <v>63</v>
      </c>
      <c r="G51" s="3">
        <v>5</v>
      </c>
      <c r="H51" s="3">
        <v>7</v>
      </c>
      <c r="I51" s="3">
        <v>1</v>
      </c>
      <c r="J51" s="3" t="s">
        <v>64</v>
      </c>
      <c r="K51" s="3" t="s">
        <v>47</v>
      </c>
      <c r="L51" s="3" t="s">
        <v>65</v>
      </c>
      <c r="M51" s="4" t="s">
        <v>270</v>
      </c>
      <c r="N51" s="3" t="s">
        <v>47</v>
      </c>
    </row>
    <row r="52" spans="1:14" x14ac:dyDescent="0.25">
      <c r="A52" s="21">
        <v>51</v>
      </c>
      <c r="B52" s="21" t="s">
        <v>37</v>
      </c>
      <c r="C52" s="22" t="s">
        <v>271</v>
      </c>
      <c r="D52" s="22" t="s">
        <v>272</v>
      </c>
      <c r="E52" s="21" t="s">
        <v>273</v>
      </c>
      <c r="F52" s="21" t="s">
        <v>63</v>
      </c>
      <c r="G52" s="21">
        <v>5</v>
      </c>
      <c r="H52" s="21">
        <v>8</v>
      </c>
      <c r="I52" s="21">
        <v>1</v>
      </c>
      <c r="J52" s="21" t="s">
        <v>64</v>
      </c>
      <c r="K52" s="21" t="s">
        <v>47</v>
      </c>
      <c r="L52" s="21" t="s">
        <v>65</v>
      </c>
      <c r="M52" s="22" t="s">
        <v>274</v>
      </c>
      <c r="N52" s="21" t="s">
        <v>47</v>
      </c>
    </row>
  </sheetData>
  <autoFilter ref="A1:N1"/>
  <dataValidations count="6">
    <dataValidation type="list" allowBlank="1" sqref="J10:J52">
      <formula1>"Must,Should,Could"</formula1>
    </dataValidation>
    <dataValidation type="list" allowBlank="1" sqref="J2:J52">
      <formula1>"Must,Should,Could"</formula1>
    </dataValidation>
    <dataValidation type="list" allowBlank="1" sqref="K10:K52">
      <formula1>'TV'!$A$2:$A$5</formula1>
    </dataValidation>
    <dataValidation type="list" allowBlank="1" sqref="K2:K52">
      <formula1>'TV'!$A$2:$A$5</formula1>
    </dataValidation>
    <dataValidation type="list" allowBlank="1" sqref="L10:L52">
      <formula1>"Chưa làm,Đang làm,Xong,Block"</formula1>
    </dataValidation>
    <dataValidation type="list" allowBlank="1" sqref="L2:L52">
      <formula1>"Chưa làm,Đang làm,Xong,Block"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2" max="2" width="34" customWidth="1"/>
  </cols>
  <sheetData>
    <row r="1" spans="1:11" s="1" customFormat="1" x14ac:dyDescent="0.25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</row>
    <row r="2" spans="1:11" x14ac:dyDescent="0.25">
      <c r="A2" t="s">
        <v>286</v>
      </c>
      <c r="B2" t="s">
        <v>47</v>
      </c>
      <c r="C2">
        <f>SUM(D2:K2)</f>
      </c>
      <c r="D2">
        <f>SUMIFS('Task List'!$I:$I,'Task List'!$K:$K,$A2,'Task List'!$H:$H,1)</f>
      </c>
      <c r="E2">
        <f>SUMIFS('Task List'!$I:$I,'Task List'!$K:$K,$A2,'Task List'!$H:$H,2)</f>
      </c>
      <c r="F2">
        <f>SUMIFS('Task List'!$I:$I,'Task List'!$K:$K,$A2,'Task List'!$H:$H,3)</f>
      </c>
      <c r="G2">
        <f>SUMIFS('Task List'!$I:$I,'Task List'!$K:$K,$A2,'Task List'!$H:$H,4)</f>
      </c>
      <c r="H2">
        <f>SUMIFS('Task List'!$I:$I,'Task List'!$K:$K,$A2,'Task List'!$H:$H,5)</f>
      </c>
      <c r="I2">
        <f>SUMIFS('Task List'!$I:$I,'Task List'!$K:$K,$A2,'Task List'!$H:$H,6)</f>
      </c>
      <c r="J2">
        <f>SUMIFS('Task List'!$I:$I,'Task List'!$K:$K,$A2,'Task List'!$H:$H,7)</f>
      </c>
      <c r="K2">
        <f>SUMIFS('Task List'!$I:$I,'Task List'!$K:$K,$A2,'Task List'!$H:$H,8)</f>
      </c>
    </row>
    <row r="3" spans="1:11" x14ac:dyDescent="0.25">
      <c r="A3" t="s">
        <v>287</v>
      </c>
      <c r="B3" t="s">
        <v>47</v>
      </c>
      <c r="C3">
        <f>SUM(D3:K3)</f>
      </c>
      <c r="D3">
        <f>SUMIFS('Task List'!$I:$I,'Task List'!$K:$K,$A3,'Task List'!$H:$H,1)</f>
      </c>
      <c r="E3">
        <f>SUMIFS('Task List'!$I:$I,'Task List'!$K:$K,$A3,'Task List'!$H:$H,2)</f>
      </c>
      <c r="F3">
        <f>SUMIFS('Task List'!$I:$I,'Task List'!$K:$K,$A3,'Task List'!$H:$H,3)</f>
      </c>
      <c r="G3">
        <f>SUMIFS('Task List'!$I:$I,'Task List'!$K:$K,$A3,'Task List'!$H:$H,4)</f>
      </c>
      <c r="H3">
        <f>SUMIFS('Task List'!$I:$I,'Task List'!$K:$K,$A3,'Task List'!$H:$H,5)</f>
      </c>
      <c r="I3">
        <f>SUMIFS('Task List'!$I:$I,'Task List'!$K:$K,$A3,'Task List'!$H:$H,6)</f>
      </c>
      <c r="J3">
        <f>SUMIFS('Task List'!$I:$I,'Task List'!$K:$K,$A3,'Task List'!$H:$H,7)</f>
      </c>
      <c r="K3">
        <f>SUMIFS('Task List'!$I:$I,'Task List'!$K:$K,$A3,'Task List'!$H:$H,8)</f>
      </c>
    </row>
    <row r="4" spans="1:11" x14ac:dyDescent="0.25">
      <c r="A4" t="s">
        <v>288</v>
      </c>
      <c r="B4" t="s">
        <v>47</v>
      </c>
      <c r="C4">
        <f>SUM(D4:K4)</f>
      </c>
      <c r="D4">
        <f>SUMIFS('Task List'!$I:$I,'Task List'!$K:$K,$A4,'Task List'!$H:$H,1)</f>
      </c>
      <c r="E4">
        <f>SUMIFS('Task List'!$I:$I,'Task List'!$K:$K,$A4,'Task List'!$H:$H,2)</f>
      </c>
      <c r="F4">
        <f>SUMIFS('Task List'!$I:$I,'Task List'!$K:$K,$A4,'Task List'!$H:$H,3)</f>
      </c>
      <c r="G4">
        <f>SUMIFS('Task List'!$I:$I,'Task List'!$K:$K,$A4,'Task List'!$H:$H,4)</f>
      </c>
      <c r="H4">
        <f>SUMIFS('Task List'!$I:$I,'Task List'!$K:$K,$A4,'Task List'!$H:$H,5)</f>
      </c>
      <c r="I4">
        <f>SUMIFS('Task List'!$I:$I,'Task List'!$K:$K,$A4,'Task List'!$H:$H,6)</f>
      </c>
      <c r="J4">
        <f>SUMIFS('Task List'!$I:$I,'Task List'!$K:$K,$A4,'Task List'!$H:$H,7)</f>
      </c>
      <c r="K4">
        <f>SUMIFS('Task List'!$I:$I,'Task List'!$K:$K,$A4,'Task List'!$H:$H,8)</f>
      </c>
    </row>
    <row r="5" spans="1:11" x14ac:dyDescent="0.25">
      <c r="A5" t="s">
        <v>289</v>
      </c>
      <c r="B5" t="s">
        <v>47</v>
      </c>
      <c r="C5">
        <f>SUM(D5:K5)</f>
      </c>
      <c r="D5">
        <f>SUMIFS('Task List'!$I:$I,'Task List'!$K:$K,$A5,'Task List'!$H:$H,1)</f>
      </c>
      <c r="E5">
        <f>SUMIFS('Task List'!$I:$I,'Task List'!$K:$K,$A5,'Task List'!$H:$H,2)</f>
      </c>
      <c r="F5">
        <f>SUMIFS('Task List'!$I:$I,'Task List'!$K:$K,$A5,'Task List'!$H:$H,3)</f>
      </c>
      <c r="G5">
        <f>SUMIFS('Task List'!$I:$I,'Task List'!$K:$K,$A5,'Task List'!$H:$H,4)</f>
      </c>
      <c r="H5">
        <f>SUMIFS('Task List'!$I:$I,'Task List'!$K:$K,$A5,'Task List'!$H:$H,5)</f>
      </c>
      <c r="I5">
        <f>SUMIFS('Task List'!$I:$I,'Task List'!$K:$K,$A5,'Task List'!$H:$H,6)</f>
      </c>
      <c r="J5">
        <f>SUMIFS('Task List'!$I:$I,'Task List'!$K:$K,$A5,'Task List'!$H:$H,7)</f>
      </c>
      <c r="K5">
        <f>SUMIFS('Task List'!$I:$I,'Task List'!$K:$K,$A5,'Task List'!$H:$H,8)</f>
      </c>
    </row>
    <row r="7" spans="1:11" s="1" customFormat="1" x14ac:dyDescent="0.25">
      <c r="A7" s="1" t="s">
        <v>290</v>
      </c>
      <c r="B7" s="1" t="s">
        <v>47</v>
      </c>
      <c r="C7" s="1">
        <f>SUM(C2:C5)</f>
      </c>
      <c r="D7" s="1">
        <f>SUM(D2:D5)</f>
      </c>
      <c r="E7" s="1">
        <f>SUM(E2:E5)</f>
      </c>
      <c r="F7" s="1">
        <f>SUM(F2:F5)</f>
      </c>
      <c r="G7" s="1">
        <f>SUM(G2:G5)</f>
      </c>
      <c r="H7" s="1">
        <f>SUM(H2:H5)</f>
      </c>
      <c r="I7" s="1">
        <f>SUM(I2:I5)</f>
      </c>
      <c r="J7" s="1">
        <f>SUM(J2:J5)</f>
      </c>
      <c r="K7" s="1">
        <f>SUM(K2:K5)</f>
      </c>
    </row>
    <row r="9" spans="1:11" s="1" customFormat="1" x14ac:dyDescent="0.25">
      <c r="A9" s="1" t="s">
        <v>291</v>
      </c>
      <c r="B9" s="1" t="s">
        <v>292</v>
      </c>
      <c r="C9" s="1" t="s">
        <v>47</v>
      </c>
      <c r="D9" s="1" t="s">
        <v>47</v>
      </c>
      <c r="E9" s="1" t="s">
        <v>47</v>
      </c>
      <c r="F9" s="1" t="s">
        <v>47</v>
      </c>
      <c r="G9" s="1" t="s">
        <v>47</v>
      </c>
      <c r="H9" s="1" t="s">
        <v>47</v>
      </c>
      <c r="I9" s="1" t="s">
        <v>47</v>
      </c>
      <c r="J9" s="1" t="s">
        <v>47</v>
      </c>
      <c r="K9" s="1" t="s">
        <v>47</v>
      </c>
    </row>
    <row r="10" spans="1:11" s="1" customFormat="1" x14ac:dyDescent="0.25">
      <c r="A10" s="1" t="s">
        <v>293</v>
      </c>
      <c r="B10" s="1" t="s">
        <v>294</v>
      </c>
      <c r="C10" s="1" t="s">
        <v>47</v>
      </c>
      <c r="D10" s="1" t="s">
        <v>47</v>
      </c>
      <c r="E10" s="1" t="s">
        <v>47</v>
      </c>
      <c r="F10" s="1" t="s">
        <v>47</v>
      </c>
      <c r="G10" s="1" t="s">
        <v>47</v>
      </c>
      <c r="H10" s="1" t="s">
        <v>47</v>
      </c>
      <c r="I10" s="1" t="s">
        <v>47</v>
      </c>
      <c r="J10" s="1" t="s">
        <v>47</v>
      </c>
      <c r="K10" s="1" t="s">
        <v>47</v>
      </c>
    </row>
    <row r="11" spans="1:11" x14ac:dyDescent="0.25">
      <c r="A11" t="s">
        <v>293</v>
      </c>
      <c r="B11" t="s">
        <v>295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4" customWidth="1"/>
    <col min="2" max="2" width="8" customWidth="1"/>
    <col min="3" max="3" width="90" customWidth="1"/>
    <col min="4" max="4" width="60" customWidth="1"/>
  </cols>
  <sheetData>
    <row r="1" spans="1:4" s="1" customFormat="1" x14ac:dyDescent="0.25">
      <c r="A1" s="1" t="s">
        <v>52</v>
      </c>
      <c r="B1" s="1" t="s">
        <v>53</v>
      </c>
      <c r="C1" s="1" t="s">
        <v>296</v>
      </c>
      <c r="D1" s="1" t="s">
        <v>297</v>
      </c>
    </row>
    <row r="2" spans="1:4" x14ac:dyDescent="0.25">
      <c r="A2" t="s">
        <v>298</v>
      </c>
      <c r="B2" t="s">
        <v>299</v>
      </c>
      <c r="C2" t="s">
        <v>300</v>
      </c>
      <c r="D2" t="s">
        <v>301</v>
      </c>
    </row>
    <row r="3" spans="1:4" x14ac:dyDescent="0.25">
      <c r="A3" t="s">
        <v>302</v>
      </c>
      <c r="B3" t="s">
        <v>303</v>
      </c>
      <c r="C3" t="s">
        <v>304</v>
      </c>
      <c r="D3" t="s">
        <v>305</v>
      </c>
    </row>
    <row r="4" spans="1:4" x14ac:dyDescent="0.25">
      <c r="A4" t="s">
        <v>306</v>
      </c>
      <c r="B4" t="s">
        <v>307</v>
      </c>
      <c r="C4" t="s">
        <v>308</v>
      </c>
      <c r="D4" t="s">
        <v>309</v>
      </c>
    </row>
    <row r="5" spans="1:4" x14ac:dyDescent="0.25">
      <c r="A5" t="s">
        <v>310</v>
      </c>
      <c r="B5" t="s">
        <v>311</v>
      </c>
      <c r="C5" t="s">
        <v>312</v>
      </c>
      <c r="D5" t="s">
        <v>313</v>
      </c>
    </row>
    <row r="6" spans="1:4" x14ac:dyDescent="0.25">
      <c r="A6" t="s">
        <v>314</v>
      </c>
      <c r="B6" t="s">
        <v>315</v>
      </c>
      <c r="C6" t="s">
        <v>316</v>
      </c>
      <c r="D6" t="s">
        <v>317</v>
      </c>
    </row>
    <row r="7" spans="1:4" x14ac:dyDescent="0.25">
      <c r="A7" t="s">
        <v>318</v>
      </c>
      <c r="B7" t="s">
        <v>319</v>
      </c>
      <c r="C7" t="s">
        <v>320</v>
      </c>
      <c r="D7" t="s">
        <v>321</v>
      </c>
    </row>
    <row r="9" spans="1:4" x14ac:dyDescent="0.25">
      <c r="A9" t="s">
        <v>322</v>
      </c>
      <c r="B9" t="s">
        <v>323</v>
      </c>
      <c r="C9" t="s">
        <v>47</v>
      </c>
      <c r="D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52" customWidth="1"/>
    <col min="2" max="2" width="34" customWidth="1"/>
    <col min="3" max="3" width="30" customWidth="1"/>
    <col min="4" max="4" width="80" customWidth="1"/>
  </cols>
  <sheetData>
    <row r="1" spans="1:4" s="1" customFormat="1" x14ac:dyDescent="0.25">
      <c r="A1" s="1" t="s">
        <v>324</v>
      </c>
      <c r="B1" s="1" t="s">
        <v>325</v>
      </c>
      <c r="C1" s="1" t="s">
        <v>326</v>
      </c>
      <c r="D1" s="1" t="s">
        <v>327</v>
      </c>
    </row>
    <row r="2" spans="1:4" x14ac:dyDescent="0.25">
      <c r="A2" t="s">
        <v>328</v>
      </c>
      <c r="B2" t="s">
        <v>329</v>
      </c>
      <c r="C2" t="s">
        <v>330</v>
      </c>
      <c r="D2" t="s">
        <v>331</v>
      </c>
    </row>
    <row r="3" spans="1:4" x14ac:dyDescent="0.25">
      <c r="A3" t="s">
        <v>332</v>
      </c>
      <c r="B3" t="s">
        <v>333</v>
      </c>
      <c r="C3" t="s">
        <v>334</v>
      </c>
      <c r="D3" t="s">
        <v>335</v>
      </c>
    </row>
    <row r="4" spans="1:4" x14ac:dyDescent="0.25">
      <c r="A4" t="s">
        <v>336</v>
      </c>
      <c r="B4" t="s">
        <v>337</v>
      </c>
      <c r="C4" t="s">
        <v>338</v>
      </c>
      <c r="D4" t="s">
        <v>339</v>
      </c>
    </row>
    <row r="5" spans="1:4" x14ac:dyDescent="0.25">
      <c r="A5" t="s">
        <v>340</v>
      </c>
      <c r="B5" t="s">
        <v>341</v>
      </c>
      <c r="C5" t="s">
        <v>342</v>
      </c>
      <c r="D5" t="s">
        <v>343</v>
      </c>
    </row>
    <row r="6" spans="1:4" x14ac:dyDescent="0.25">
      <c r="A6" t="s">
        <v>344</v>
      </c>
      <c r="B6" t="s">
        <v>345</v>
      </c>
      <c r="C6" t="s">
        <v>346</v>
      </c>
      <c r="D6" t="s">
        <v>347</v>
      </c>
    </row>
    <row r="7" spans="1:4" x14ac:dyDescent="0.25">
      <c r="A7" t="s">
        <v>348</v>
      </c>
      <c r="B7" t="s">
        <v>349</v>
      </c>
      <c r="C7" t="s">
        <v>350</v>
      </c>
      <c r="D7" t="s">
        <v>351</v>
      </c>
    </row>
    <row r="8" spans="1:4" x14ac:dyDescent="0.25">
      <c r="A8" t="s">
        <v>352</v>
      </c>
      <c r="B8" t="s">
        <v>353</v>
      </c>
      <c r="C8" t="s">
        <v>354</v>
      </c>
      <c r="D8" t="s">
        <v>355</v>
      </c>
    </row>
    <row r="9" spans="1:4" x14ac:dyDescent="0.25">
      <c r="A9" t="s">
        <v>356</v>
      </c>
      <c r="B9" t="s">
        <v>357</v>
      </c>
      <c r="C9" t="s">
        <v>358</v>
      </c>
      <c r="D9" t="s">
        <v>359</v>
      </c>
    </row>
    <row r="10" spans="1:4" x14ac:dyDescent="0.25">
      <c r="A10" t="s">
        <v>360</v>
      </c>
      <c r="B10" t="s">
        <v>361</v>
      </c>
      <c r="C10" t="s">
        <v>362</v>
      </c>
      <c r="D10" t="s">
        <v>363</v>
      </c>
    </row>
    <row r="11" spans="1:4" x14ac:dyDescent="0.25">
      <c r="A11" t="s">
        <v>364</v>
      </c>
      <c r="B11" t="s">
        <v>365</v>
      </c>
      <c r="C11" t="s">
        <v>366</v>
      </c>
      <c r="D11" t="s">
        <v>367</v>
      </c>
    </row>
    <row r="13" spans="1:4" s="1" customFormat="1" x14ac:dyDescent="0.25">
      <c r="A13" s="1" t="s">
        <v>368</v>
      </c>
      <c r="B13" s="1" t="s">
        <v>47</v>
      </c>
      <c r="C13" s="1" t="s">
        <v>47</v>
      </c>
      <c r="D13" s="1" t="s">
        <v>47</v>
      </c>
    </row>
    <row r="14" spans="1:4" x14ac:dyDescent="0.25">
      <c r="A14" t="s">
        <v>299</v>
      </c>
      <c r="B14" t="s">
        <v>369</v>
      </c>
      <c r="C14" t="s">
        <v>47</v>
      </c>
      <c r="D14" t="s">
        <v>47</v>
      </c>
    </row>
    <row r="15" spans="1:4" x14ac:dyDescent="0.25">
      <c r="A15" t="s">
        <v>370</v>
      </c>
      <c r="B15" t="s">
        <v>371</v>
      </c>
      <c r="C15" t="s">
        <v>47</v>
      </c>
      <c r="D15" t="s">
        <v>47</v>
      </c>
    </row>
    <row r="16" spans="1:4" x14ac:dyDescent="0.25">
      <c r="A16" t="s">
        <v>307</v>
      </c>
      <c r="B16" t="s">
        <v>372</v>
      </c>
      <c r="C16" t="s">
        <v>47</v>
      </c>
      <c r="D16" t="s">
        <v>47</v>
      </c>
    </row>
    <row r="17" spans="1:4" x14ac:dyDescent="0.25">
      <c r="A17" t="s">
        <v>311</v>
      </c>
      <c r="B17" t="s">
        <v>373</v>
      </c>
      <c r="C17" t="s">
        <v>47</v>
      </c>
      <c r="D1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 map</vt:lpstr>
      <vt:lpstr>Task List</vt:lpstr>
      <vt:lpstr>TV</vt:lpstr>
      <vt:lpstr>Phases &amp; Gates</vt:lpstr>
      <vt:lpstr>FE Ownership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PrintGrid (plan: C:\Users\xuant\.claude\plans\spicy-nibbling-quiche.md)</dc:creator>
  <dc:title/>
  <dc:subject/>
  <dc:description/>
  <cp:keywords/>
  <cp:category/>
  <cp:lastModifiedBy>Unknown</cp:lastModifiedBy>
  <dcterms:created xsi:type="dcterms:W3CDTF">2026-09-26T07:22:30Z</dcterms:created>
  <dcterms:modified xsi:type="dcterms:W3CDTF">2026-09-26T07:22:30Z</dcterms:modified>
</cp:coreProperties>
</file>