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48D47C81-1078-4D33-85F6-C8FE3A0D9CA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Đọc trước" sheetId="1" r:id="rId1"/>
    <sheet name="1. Phân công FR" sheetId="2" r:id="rId2"/>
    <sheet name="2. WBS" sheetId="3" r:id="rId3"/>
    <sheet name="3. TV" sheetId="4" r:id="rId4"/>
    <sheet name="4. Tiến trình &amp; Cổng" sheetId="5" r:id="rId5"/>
    <sheet name="5. Ai làm màn nà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4" l="1"/>
  <c r="J5" i="4"/>
  <c r="I5" i="4"/>
  <c r="H5" i="4"/>
  <c r="G5" i="4"/>
  <c r="F5" i="4"/>
  <c r="E5" i="4"/>
  <c r="D5" i="4"/>
  <c r="K4" i="4"/>
  <c r="J4" i="4"/>
  <c r="I4" i="4"/>
  <c r="H4" i="4"/>
  <c r="G4" i="4"/>
  <c r="F4" i="4"/>
  <c r="E4" i="4"/>
  <c r="D4" i="4"/>
  <c r="K3" i="4"/>
  <c r="J3" i="4"/>
  <c r="I3" i="4"/>
  <c r="H3" i="4"/>
  <c r="G3" i="4"/>
  <c r="F3" i="4"/>
  <c r="E3" i="4"/>
  <c r="D3" i="4"/>
  <c r="K2" i="4"/>
  <c r="J2" i="4"/>
  <c r="I2" i="4"/>
  <c r="H2" i="4"/>
  <c r="G2" i="4"/>
  <c r="F2" i="4"/>
  <c r="E2" i="4"/>
  <c r="D2" i="4"/>
  <c r="C3" i="4" l="1"/>
  <c r="C5" i="4"/>
  <c r="C2" i="4"/>
  <c r="C4" i="4"/>
  <c r="C7" i="4" l="1"/>
</calcChain>
</file>

<file path=xl/sharedStrings.xml><?xml version="1.0" encoding="utf-8"?>
<sst xmlns="http://schemas.openxmlformats.org/spreadsheetml/2006/main" count="827" uniqueCount="430">
  <si>
    <t>HƯỚNG DẪM DÙNG FILE — PrintGrid: kế hoạch hoàn thiện &amp; phân công</t>
  </si>
  <si>
    <t>Sheet</t>
  </si>
  <si>
    <t>Dùng để</t>
  </si>
  <si>
    <t>Ai cập nhật</t>
  </si>
  <si>
    <t>1. Phân công FR</t>
  </si>
  <si>
    <t>43 chức năng của hệ thống, chia theo nhóm S1–S9, kèm HIỆN TRẠNG code thật (kiểm kê 25/09). Mỗi dòng chọn NGƯỜI PHỤ TRÁCH.</t>
  </si>
  <si>
    <t>Mỗi người tự chọn tên ở dòng mình nhận</t>
  </si>
  <si>
    <t>2. WBS</t>
  </si>
  <si>
    <t>Việc cụ thể để làm xong các FR: từng dòng là 1 đầu việc + tiêu chí nghiệm thu AC. Chọn người + đánh dấu tiến độ tại đây.</t>
  </si>
  <si>
    <t>Người làm cập nhật Trạng thái mỗi tối</t>
  </si>
  <si>
    <t>3. TV</t>
  </si>
  <si>
    <t>Tải của 4 người tự động cộng từ WBS. Chênh quá 5 ngày → nhượng dòng "Nên làm/Có thì tốt".</t>
  </si>
  <si>
    <t>Tự động</t>
  </si>
  <si>
    <t>4. Tiến trình</t>
  </si>
  <si>
    <t>6 giai đoạn + 2 cổng kiểm tra (G-A tuần 2, G-B tuần 8). Không qua cổng thì không đi tiếp.</t>
  </si>
  <si>
    <t>Cả nhóm chốt tại họp</t>
  </si>
  <si>
    <t>5. Ai làm màn nào</t>
  </si>
  <si>
    <t>Mỗi màn hình FE có đúng 1 chủ trong 1 tuần — tránh 2 người sửa cùng 1 file.</t>
  </si>
  <si>
    <t>Theo WBS</t>
  </si>
  <si>
    <t>Tài liệu chi tiết (SRS) xem tại:</t>
  </si>
  <si>
    <t>documentation/project/requirements/ — 09 (FR + Acceptance), 12 (Use Case từng màn), 13 (ca kiểm thử). WBS dẫn ngược mã FR/UC để tra.</t>
  </si>
  <si>
    <t>Nguyên tắc vàng:</t>
  </si>
  <si>
    <t>Nhìn vào WBS là biết: LÀM GỠ — Ở ĐÂU — XONG LÀ THẾ NÀO — AI LÀM — TUẦN NÀO. Không cần hỏi thêm ai.</t>
  </si>
  <si>
    <t>STT</t>
  </si>
  <si>
    <t>Mã FR</t>
  </si>
  <si>
    <t>Chức năng</t>
  </si>
  <si>
    <t>Actor</t>
  </si>
  <si>
    <t>Hiện trạng code (audit 25/09)</t>
  </si>
  <si>
    <t>Người phụ trách (chọn)</t>
  </si>
  <si>
    <t>Việc WBS làm nó xong</t>
  </si>
  <si>
    <t>Tiến độ (chọn)</t>
  </si>
  <si>
    <t>Ghi chú</t>
  </si>
  <si>
    <t/>
  </si>
  <si>
    <t>S1. Quản lý tài khoản &amp; Phân quyền</t>
  </si>
  <si>
    <t>FR-CUST-001</t>
  </si>
  <si>
    <t>Đăng ký / đăng nhập / email xác thực / hồ sơ + địa chỉ nhận hàng</t>
  </si>
  <si>
    <t>Khách hàng</t>
  </si>
  <si>
    <t>Đã làm một phần — thiếu verify email &amp; địa chỉ</t>
  </si>
  <si>
    <t>Đang làm</t>
  </si>
  <si>
    <t>1, 5, 6</t>
  </si>
  <si>
    <t>FR-ADMIN-001</t>
  </si>
  <si>
    <t>Quản lý tài khoản &amp; phân quyền các vai (tạo, khóa, đổi role)</t>
  </si>
  <si>
    <t>Admin</t>
  </si>
  <si>
    <t>Chưa có — role đang hardcode theo email</t>
  </si>
  <si>
    <t>Chưa làm</t>
  </si>
  <si>
    <t>2, 11</t>
  </si>
  <si>
    <t>FR-ADMIN-004</t>
  </si>
  <si>
    <t>Nhật ký hệ thống (audit) + theo dõi sức khỏe tiến trình nền</t>
  </si>
  <si>
    <t>Chưa có audit; Hangfire dashboard đã có</t>
  </si>
  <si>
    <t>7</t>
  </si>
  <si>
    <t>S2. Danh mục &amp; Cấu hình hệ thống</t>
  </si>
  <si>
    <t>FR-ADMIN-002</t>
  </si>
  <si>
    <t>Cấu hình tham số thương mại (giá, trọng số, hạn báo giá…) không cần tái triển khai</t>
  </si>
  <si>
    <t>Chưa có</t>
  </si>
  <si>
    <t>30</t>
  </si>
  <si>
    <t>FR-ADMIN-003</t>
  </si>
  <si>
    <t>Danh mục dùng chung: vật liệu, màu, công nghệ, cấp chất lượng</t>
  </si>
  <si>
    <t>Chưa có — đang hardcode trong code</t>
  </si>
  <si>
    <t>44</t>
  </si>
  <si>
    <t>FR-ADMIN-005</t>
  </si>
  <si>
    <t>Quản lý bộ kiểm hàng (checklist) &amp; danh mục lỗi</t>
  </si>
  <si>
    <t>42</t>
  </si>
  <si>
    <t>S3. Model &amp; Báo giá phía Khách</t>
  </si>
  <si>
    <t>FR-CUST-002</t>
  </si>
  <si>
    <t>Tải file 3D (STL/OBJ/3MF ≤50MB) về vùng lưu trữ riêng</t>
  </si>
  <si>
    <t>Đã làm một phần — thiếu chặn định dạng + quota</t>
  </si>
  <si>
    <t>—</t>
  </si>
  <si>
    <t>FR-CUST-003</t>
  </si>
  <si>
    <t>Xem trước model 3D trong trình duyệt kèm kích thước</t>
  </si>
  <si>
    <t>FR-CUST-004</t>
  </si>
  <si>
    <t>Kiểm tra model in được hay không + cảnh báo oversized</t>
  </si>
  <si>
    <t>Chưa có — pipeline đang dùng số giả</t>
  </si>
  <si>
    <t>13</t>
  </si>
  <si>
    <t>FR-CUST-005</t>
  </si>
  <si>
    <t>Khai thông số in: vật liệu, màu, lớp, đặc, gia công, số lượng</t>
  </si>
  <si>
    <t>Đã làm một phần — thiếu gia công/cấp dịch vụ</t>
  </si>
  <si>
    <t>FR-CUST-006</t>
  </si>
  <si>
    <t>Nhận báo giá tự động: breakdown + ngày giao cam kết + hạn dùng</t>
  </si>
  <si>
    <t>Đã làm một phần — giá hằng số, ngày +3 ngày</t>
  </si>
  <si>
    <t>14, 15, 16</t>
  </si>
  <si>
    <t>FR-CUST-010</t>
  </si>
  <si>
    <t>Thư viện model cá nhân + đặt lại nhanh</t>
  </si>
  <si>
    <t>Đã làm một phần — chưa nhớ cấu hình cũ</t>
  </si>
  <si>
    <t>S4. Đơn hàng &amp; Thanh toán</t>
  </si>
  <si>
    <t>FR-CUST-007</t>
  </si>
  <si>
    <t>Xác nhận báo giá thành đơn (địa chỉ, điều khoản)</t>
  </si>
  <si>
    <t>Đã làm một phần — thiếu điều khoản</t>
  </si>
  <si>
    <t>10, 23</t>
  </si>
  <si>
    <t>FR-CUST-008</t>
  </si>
  <si>
    <t>Thanh toán thật qua cổng SEPay (QR + xác thực 2 lớp)</t>
  </si>
  <si>
    <t>Chưa có — tuần 1–2 dùng cầu tạm đánh dấu đã trả</t>
  </si>
  <si>
    <t>24</t>
  </si>
  <si>
    <t>FR-ANAL-005</t>
  </si>
  <si>
    <t>Duyệt &amp; hoàn tiền + đối soát sổ thu hằng ngày</t>
  </si>
  <si>
    <t>Quản trị mạng</t>
  </si>
  <si>
    <t>26</t>
  </si>
  <si>
    <t>S5. Theo dõi đơn &amp; Chăm sóc sau bán</t>
  </si>
  <si>
    <t>FR-CUST-009</t>
  </si>
  <si>
    <t>Theo dõi đơn realtime, không lộ tên xưởng in</t>
  </si>
  <si>
    <t>Đã làm một phần — realtime chưa bật</t>
  </si>
  <si>
    <t>27</t>
  </si>
  <si>
    <t>FR-CUST-011</t>
  </si>
  <si>
    <t>Xin in lại / khiếu nại trong hạn bảo hành 30 ngày</t>
  </si>
  <si>
    <t>37</t>
  </si>
  <si>
    <t>S6. Xưởng in: đăng ký, máy, kho, vận hành</t>
  </si>
  <si>
    <t>FR-LAB-001</t>
  </si>
  <si>
    <t>Xưởng tự đăng ký + admin duyệt (lịch làm, thời gian chuyển về hub)</t>
  </si>
  <si>
    <t>Quản lý xưởng</t>
  </si>
  <si>
    <t>43</t>
  </si>
  <si>
    <t>FR-LAB-002</t>
  </si>
  <si>
    <t>Khai báo &amp; quản lý máy in (công nghệ, khổ, dung sai, trạng thái)</t>
  </si>
  <si>
    <t>Đã làm một phần — API có, thiếu màn hình</t>
  </si>
  <si>
    <t>32</t>
  </si>
  <si>
    <t>FR-LAB-003</t>
  </si>
  <si>
    <t>Kho vật liệu theo màu, trừ dần theo job, cảnh báo hết</t>
  </si>
  <si>
    <t>33</t>
  </si>
  <si>
    <t>FR-LAB-004</t>
  </si>
  <si>
    <t>Nhận/từ chối job được giao trong hạn 2 giờ</t>
  </si>
  <si>
    <t>Đã làm một phần — thiếu từ chối + đếm giờ</t>
  </si>
  <si>
    <t>21</t>
  </si>
  <si>
    <t>FR-LAB-005</t>
  </si>
  <si>
    <t>Vận hành in: chờ→đang in→xong, khai số liệu thực tế, báo sự cố</t>
  </si>
  <si>
    <t>Thợ in</t>
  </si>
  <si>
    <t>Đã làm một phần — thiếu sự cố + phân theo xưởng</t>
  </si>
  <si>
    <t>34, 35</t>
  </si>
  <si>
    <t>FR-LAB-006</t>
  </si>
  <si>
    <t>Xem lịch máy theo dòng thời gian</t>
  </si>
  <si>
    <t>46</t>
  </si>
  <si>
    <t>FR-LAB-007</t>
  </si>
  <si>
    <t>Xem điểm hiệu năng của xưởng mình</t>
  </si>
  <si>
    <t>S7. Hub: nhập hàng, kiểm tra, đóng gói, giao</t>
  </si>
  <si>
    <t>FR-HUB-001</t>
  </si>
  <si>
    <t>Nhận lô từ xưởng, đối chiếu thiếu/hỏng</t>
  </si>
  <si>
    <t>QC hub</t>
  </si>
  <si>
    <t>28</t>
  </si>
  <si>
    <t>FR-HUB-002</t>
  </si>
  <si>
    <t>Kiểm hàng theo checklist cấp chất lượng + ảnh + quy lỗi</t>
  </si>
  <si>
    <t>Đã làm một phần — chỉ có đậu/trượt</t>
  </si>
  <si>
    <t>40</t>
  </si>
  <si>
    <t>FR-HUB-003</t>
  </si>
  <si>
    <t>Phát lệnh in lại + xác nhận lịch cam kết mới</t>
  </si>
  <si>
    <t>Đã làm một phần — thiếu hạn mức + deadline gốc</t>
  </si>
  <si>
    <t>18, 40</t>
  </si>
  <si>
    <t>FR-HUB-004</t>
  </si>
  <si>
    <t>Gộp đơn, chặn đóng gói khi còn thiếu món đậu kiểm</t>
  </si>
  <si>
    <t>Thủ kho hub</t>
  </si>
  <si>
    <t>29</t>
  </si>
  <si>
    <t>FR-HUB-005</t>
  </si>
  <si>
    <t>Đóng gói, ghi vận đơn, xác nhận giao → mở bảo hành 30 ngày</t>
  </si>
  <si>
    <t>S8. Engine: phân tích, định giá, điều phối, lịch</t>
  </si>
  <si>
    <t>FR-SCHED-001</t>
  </si>
  <si>
    <t>Phân tích hình học model: kích thước, thể tích, lỗi mesh</t>
  </si>
  <si>
    <t>Hệ thống</t>
  </si>
  <si>
    <t>Đã làm một phần — parser có nhưng không được gọi</t>
  </si>
  <si>
    <t>FR-SCHED-002</t>
  </si>
  <si>
    <t>Cắt lớp ảo: ước lượng thời gian in + vật liệu</t>
  </si>
  <si>
    <t>Đã làm một phần — heuristic, nguồn dữ liệu giả</t>
  </si>
  <si>
    <t>14</t>
  </si>
  <si>
    <t>FR-SCHED-003</t>
  </si>
  <si>
    <t>Lọc máy in đủ khả năng (ràng buộc cứng)</t>
  </si>
  <si>
    <t>Đã làm một phần — thiếu tồn kho + uy tín</t>
  </si>
  <si>
    <t>38</t>
  </si>
  <si>
    <t>FR-SCHED-004</t>
  </si>
  <si>
    <t>Chấm điểm máy khả thi để chọn nơi in tốt nhất</t>
  </si>
  <si>
    <t>Đã làm một phần — trọng số hardcode</t>
  </si>
  <si>
    <t>39</t>
  </si>
  <si>
    <t>FR-SCHED-005</t>
  </si>
  <si>
    <t>Đặt lịch thử lúc báo giá → ngày giao đến từ năng lực thật</t>
  </si>
  <si>
    <t>Chưa có — đây là hồn đề tài</t>
  </si>
  <si>
    <t>15</t>
  </si>
  <si>
    <t>FR-SCHED-006</t>
  </si>
  <si>
    <t>Tách đơn thành job, xếp vào queue từng máy, không trùng lịch</t>
  </si>
  <si>
    <t>Đã làm một phần — số tách là demo</t>
  </si>
  <si>
    <t>16</t>
  </si>
  <si>
    <t>FR-SCHED-007</t>
  </si>
  <si>
    <t>Tự vá lịch khi xưởng từ chối / in hỏng (≤30 giây)</t>
  </si>
  <si>
    <t>36</t>
  </si>
  <si>
    <t>FR-SCHED-008</t>
  </si>
  <si>
    <t xml:space="preserve"> hiệu chỉnh ước lượng từ số in thật (calibration)</t>
  </si>
  <si>
    <t>Đã làm một phần — chỉ có hook</t>
  </si>
  <si>
    <t>45</t>
  </si>
  <si>
    <t>FR-SCHED-009</t>
  </si>
  <si>
    <t>Ghi vết mọi quyết định gán (lab nào, điểm bao nhiêu)</t>
  </si>
  <si>
    <t>31</t>
  </si>
  <si>
    <t>FR-SCHED-010</t>
  </si>
  <si>
    <t>Máy định giá một công thức toàn mạng, đóng băng theo kỳ giá</t>
  </si>
  <si>
    <t>17</t>
  </si>
  <si>
    <t>S9. Giám sát &amp; Điều hành mạng</t>
  </si>
  <si>
    <t>FR-ANAL-001</t>
  </si>
  <si>
    <t>Bảng theo dõi mạng: đơn mở, job nguy hiểm trễ, tải từng xưởng</t>
  </si>
  <si>
    <t>47</t>
  </si>
  <si>
    <t>FR-ANAL-002</t>
  </si>
  <si>
    <t>Sổ hiệu năng xưởng (đúng hẹn, đậu ngay lần đầu…) theo cửa sổ trượt</t>
  </si>
  <si>
    <t>FR-ANAL-003</t>
  </si>
  <si>
    <t>Báo cáo SLA + xuất file</t>
  </si>
  <si>
    <t>48</t>
  </si>
  <si>
    <t>FR-ANAL-004</t>
  </si>
  <si>
    <t>Can thiệp thủ công: gán lại, ưu tiên, tạm treo xưởng (có lý do)</t>
  </si>
  <si>
    <t>Đã làm một phần — chỉ có gán lại</t>
  </si>
  <si>
    <t>ID</t>
  </si>
  <si>
    <t>Đơn vị</t>
  </si>
  <si>
    <t>Đầu việc</t>
  </si>
  <si>
    <t>Chi tiết &amp; tiêu chí nghiệm thu</t>
  </si>
  <si>
    <t>Tuần</t>
  </si>
  <si>
    <t>Công (ngày)</t>
  </si>
  <si>
    <t>Người làm (chọn)</t>
  </si>
  <si>
    <t>Trạng thái (chọn)</t>
  </si>
  <si>
    <t>1</t>
  </si>
  <si>
    <t>Cả nhóm</t>
  </si>
  <si>
    <t>Họp khóa hợp đồng API + quy ước repo</t>
  </si>
  <si>
    <t>Là lập trình viên, tôi cần mọi bên thống nhất DTO + tên event trước khi code.
AC01: File contracts/openapi.yaml chứa DTO Order/Quote/Job/Slot + tên event (job.assigned, job.failed, qc.failed…).
AC02: 4 máy clone về docker compose up chạy được liên thông.
AC03: Đổi schema phải sửa openapi trước, code sau. Mọi PR chạm shared/ qua chủ shell.</t>
  </si>
  <si>
    <t>2</t>
  </si>
  <si>
    <t>Backend</t>
  </si>
  <si>
    <t>Bảng người dùng + vai thật (thay hardcode email)</t>
  </si>
  <si>
    <t>Là admin, tôi có thể tạo tài khoản và gán vai.
AC01: Bảng user_roles; JWT claim đọc từ DB, bỏ DemoRoles.
AC02: Tài khoản lab@/qc@/ops@ cũ phải dựng lại bằng màn admin (tuần 4) hoặc đăng ký tạm.
AC03: Migration chạy được trên DB rỗng.</t>
  </si>
  <si>
    <t>3</t>
  </si>
  <si>
    <t>FE</t>
  </si>
  <si>
    <t>Chỉnh màn hình đăng ký: hết số liệu bịa</t>
  </si>
  <si>
    <t>Là khách mới, tôi không thấy số liệu "mẫu" nào trên màn hình.
AC01: LoginShowcase còn 3D, đã bỏ 3 chip 128/64/12.
AC02: HomePage chỉ hiển thị số từ /network/stats (đã đúng, giữ).
AC03: Không hardcode số ở bất kỳ màn nào.</t>
  </si>
  <si>
    <t>4</t>
  </si>
  <si>
    <t>Bỏ chạy dữ liệu mẫu lúc khởi động</t>
  </si>
  <si>
    <t>Là dev, tôi muốn DB sạch, có gì dùng nấy.
AC01: DemoDataSeeder đã xóa khỏi Program.cs (xong 26/09).
AC02: DB dev wipe bằng TRUNCATE một lần.
AC03: Công cụ seed-dev riêng (không tự chạy) khi cần demo — làm cùng task 2.</t>
  </si>
  <si>
    <t>5</t>
  </si>
  <si>
    <t>Xác thực email khi đăng ký</t>
  </si>
  <si>
    <t>Là khách, tôi phải xác thực email mới được đặt đơn.
AC01: Cờ Verified + link token.
AC02: Chưa verify ⇒ chặn create order kèm hướng dẫn.
AC03: resend email có tần suất chặn.</t>
  </si>
  <si>
    <t>6</t>
  </si>
  <si>
    <t>FE+BE</t>
  </si>
  <si>
    <t>Địa chỉ nhận hàng: thêm/sửa/xóa/mặc định</t>
  </si>
  <si>
    <t>Là khách, tôi lưu địa chỉ dùng nhiều lần.
AC01: CRUD + chọn mặc định ở checkout.
AC02: Xóa bị chặn khi còn đơn chưa giao (409 + lý do).</t>
  </si>
  <si>
    <t>Nhật ký thao tác (audit) ghi mới thôi</t>
  </si>
  <si>
    <t>Là admin, tôi tra được ai làm gì lúc nào.
AC01: Middleware ghi actor/action/entity/before-after vào audit_logs.
AC02: Không API sửa/xóa log.
AC03: Màn xem log lọc theo người + loại + ngày.</t>
  </si>
  <si>
    <t>8</t>
  </si>
  <si>
    <t>Màn đăng nhập/đăng ký dùng form thật với vai mới</t>
  </si>
  <si>
    <t>AC01: role từ claim DB điều hướng đúng trang.
AC02: role Lab chỉ thấy menu Lab.</t>
  </si>
  <si>
    <t>9</t>
  </si>
  <si>
    <t>Trang hồ sơ khách</t>
  </si>
  <si>
    <t>AC01: đổi tên/mật khẩu (cần mật khẩu hiện tại).
AC02: quota dung lượng hiển thị + chặn vượt.</t>
  </si>
  <si>
    <t>10</t>
  </si>
  <si>
    <t>Bổ sung bước điều khoản vào trang đặt hàng</t>
  </si>
  <si>
    <t>AC01: không tick ⇒ nút xác nhận disable.
AC02: đơn lưu kèm bản điều khoản đã đồng ý.</t>
  </si>
  <si>
    <t>11</t>
  </si>
  <si>
    <t>Màn admin quản lý người dùng</t>
  </si>
  <si>
    <t>AC01: tạo/sửa/khóa/mở; đơn vị nào cũng quản được.
AC02: không tự khóa chính mình.
AC03: audit mọi đổi vai.</t>
  </si>
  <si>
    <t>12</t>
  </si>
  <si>
    <t>Phân quyền theo vai cho mọi API</t>
  </si>
  <si>
    <t>Là Lab A, tôi không thấy job của Lab B.
AC01: policy đủ 6 vai trên tất cả controller (đang lọt).
AC02: ma trận test vai × endpoint xanh.
AC03: GetJobsQuery lọc theo lab của người gọi.</t>
  </si>
  <si>
    <t>Nối parser có sẵn vào luồng phân tích</t>
  </si>
  <si>
    <t>Là khách, thông số của tôi tính từ file thật.
AC01: AnalyzeModelJob tải file từ MinIO gọi StlMeshParser (bỏ phân tích metadata).
AC02: thêm kiểm tra kín/nhiều cạnh;
AC03: oversized chặn báo giá ngay từ FR-CUST-004.</t>
  </si>
  <si>
    <t>Ước lượng thời gian/vật liệu từ số phân tích</t>
  </si>
  <si>
    <t>AC01: heuristic đọc bounding box + thể tích thật.
AC02: kết quả trả kèm cờ chưa hiệu chuẩn (calibration task 45).
AC03: file 20 MB full &lt; 60 giây (Hangfire + progress).</t>
  </si>
  <si>
    <t>Đặt lịch thử lúc báo giá — ngày giao từ năng lực thật</t>
  </si>
  <si>
    <t>AC01: CreateQuote chạy thử xếp lịch, không ghi slot thật.
AC02: cùng cấu hình ở 2 thời điểm tải khác ⇒ ngày khác.
AC03: không lab khả thi ⇒ từ chối báo giá có lý do.
AC04: gấp ⇒ phụ phí (BR-QUOTE-001).</t>
  </si>
  <si>
    <t>Tách đơn thành job từ cấu hình thật + không trùng lịch</t>
  </si>
  <si>
    <t>AC01: bỏ hằng số 120³/30g/60ph; job đọc từ quote_items + phân tích.
AC02: slot machine có ràng buộc chống chồng (EXCLUDE/lock).
AC03: test 10 worker đặt song song ⇒ 0 trùng.</t>
  </si>
  <si>
    <t>Máy định giá + đóng băng kỳ giá vào báo giá</t>
  </si>
  <si>
    <t>AC01: công thức về module Scheduling, giá lấy từ bảng cấu hình có phiên bản (task 30).
AC02: quote lưu config_version_id; tính lại ra đúng số cũ dù giá đã đổi.</t>
  </si>
  <si>
    <t>18</t>
  </si>
  <si>
    <t>In lại khẩn, giữ lịch gốc, chặn quá 2 lần</t>
  </si>
  <si>
    <t>AC01: job in lại priority URGENT deadline gốc.
AC02: lần thứ 3 ⇒ hàng đợi ops, không tự in.</t>
  </si>
  <si>
    <t>19</t>
  </si>
  <si>
    <t>Trang theo dõi đơn realtime</t>
  </si>
  <si>
    <t>AC01: timeline cập nhật &lt;15 giây qua SignalR (cần bật publisher — task 27).
AC02: không lộ lab; khi in lại hiện "đang sản xuất lại".</t>
  </si>
  <si>
    <t>20</t>
  </si>
  <si>
    <t>Gói thông báo (email + trong ứng dụng)</t>
  </si>
  <si>
    <t>AC01: mỗi event một mẫu thông báo, đúng vai nhận.
AC02: chặn spam (gộp 2 event bất thường).
AC03: dùng cho xác thực email (task 5).</t>
  </si>
  <si>
    <t>Nhận/từ chối job + đồng hồ 2 giờ</t>
  </si>
  <si>
    <t>AC01: từ chối phải chọn lý do.
AC02: quá hạn tự từ chối + hoàn về engine (task 36).
AC03: đếm giờ ngược nhìn thấy ngay.</t>
  </si>
  <si>
    <t>22</t>
  </si>
  <si>
    <t>Cấu hình in còn thiếu: gia công + cấp dịch vụ + hạn nhận</t>
  </si>
  <si>
    <t>AC01: thêm post-processing/service-level/required-by vào config (BR-CONFIG-003).
AC02: tổ hợp không khả dụng disable có giải thích.</t>
  </si>
  <si>
    <t>23</t>
  </si>
  <si>
    <t>Cầu tạm đánh dấu đã trả (thay cổng tiền)</t>
  </si>
  <si>
    <t>Là vận hành, tôi xác nhận đã nhận tiền để đơn chạy tiếp.
AC01: POST /orders/{id}/mark-paid — chỉ ops/admin, buộc lý do, audit.
AC02: khách KHÔNG tự đánh dấu được.
AC03: cầu này bị xóa khi task 24 xong.</t>
  </si>
  <si>
    <t>SEPay: QR + webhook + xác nhận 2 lớp (dời tuần 7)</t>
  </si>
  <si>
    <t>AC01: QR hết hạn = hạn báo giá.
AC02: chỉ commit khi webhook + API xác nhận khớp tiền.
AC03: gọi lại webhook 2 lần không tạo 2 đơn.
AC04: DB chỉ lưu token + mã giao dịch.</t>
  </si>
  <si>
    <t>25</t>
  </si>
  <si>
    <t>Kiểm tra tích hợp tự động (Testcontainers)</t>
  </si>
  <si>
    <t>AC01: bộ 15 ca đi hết chuỗi + ca đặt song song.
AC02: chạy dotnet test xanh trên CI.</t>
  </si>
  <si>
    <t>Hoàn tiền + đối soát</t>
  </si>
  <si>
    <t>AC01: toàn phần/theo món; idempotent; không hoàn 2 lần.
AC02: đối soát lệch ⇒ phong tỏa giao dịch.
AC03: quá 5 ngày chưa hoàn ⇒ nhắc.</t>
  </si>
  <si>
    <t>Trạm phát thông báo realtime</t>
  </si>
  <si>
    <t>AC01: mọi đổi trạng thái đẩy qua hub (đang không ai đẩy).
AC02: FE trang đơn dùng chung hook (task 19).</t>
  </si>
  <si>
    <t>Hub nhận hàng + đối chiếu</t>
  </si>
  <si>
    <t>AC01: nhập mã lô, tick từng job.
AC02: thiếu ⇒ sự cố + báo lab/vận hành.</t>
  </si>
  <si>
    <t>Gộp đơn, đóng gói, gửi, xác nhận giao</t>
  </si>
  <si>
    <t>AC01: chưa đủ món đậu ⇒ khóa pack.
AC02: xác nhận giao ⇒ mở bảo hành 30 ngày.
AC03: chuyển trạng thái đơn chạy bằng API thật, không bằng seed.</t>
  </si>
  <si>
    <t>Cấu hình thương mại có phiên bản</t>
  </si>
  <si>
    <t>AC01: bảng config; API đổi không khởi động lại, hiệu lực ≤1 phút.
AC02: giá/uy tín/hạn báo giá đọc từ đây (task 17/39/…).</t>
  </si>
  <si>
    <t>Nhật ký quyết định điều phối</t>
  </si>
  <si>
    <t>AC01: ghi cùng giao dịch gán; ghi hỏng ⇒ hoàn tất cả.
AC02: tra job bất kỳ ra danh sách ứng viên + điểm.</t>
  </si>
  <si>
    <t>Màn khai máy + bảo trì</t>
  </si>
  <si>
    <t>AC01: CRUD có chặn xóa khi còn job.
AC02: lab chỉ thao tác máy của mình.</t>
  </si>
  <si>
    <t>Kho vật liệu cho xưởng</t>
  </si>
  <si>
    <t>AC01: trừ kho khi nhận job, quyết toán khi in xong.
AC02: gần hết ⇒ cảnh báo.
AC03: hết ⇒ engine loại tổ hợp màu/đó.</t>
  </si>
  <si>
    <t>34</t>
  </si>
  <si>
    <t>Hàng đợi xưởng tối ưu tablet</t>
  </si>
  <si>
    <t>AC01: đổi trạng thái ≤3 chạm.
AC02: mất mạng 2 phút không mất liệu đang nhập.</t>
  </si>
  <si>
    <t>35</t>
  </si>
  <si>
    <t>Báo sự cố in</t>
  </si>
  <si>
    <t>AC01: 3 loại + ảnh + % thời lượng.
AC02: sự cố đẩy sang máy điều phối (task 36).</t>
  </si>
  <si>
    <t>Máy tự vá lịch khi có biến cố</t>
  </si>
  <si>
    <t>AC01: xử lý event job.failed/decline/breakdown.
AC02: ≤30 giây; không đụng job đang in; lịch dự phòng luôn sẵn.
AC03: không kịp ngày khách ⇒ sang luồng xin dời (task 49).</t>
  </si>
  <si>
    <t>Màn yêu cầu in lại/khiếu nại</t>
  </si>
  <si>
    <t>AC01: chỉ trong hạn bảo hành; có ảnh; theo dõi được.
AC02: vào hàng đợi kiểm (task 40).</t>
  </si>
  <si>
    <t>Bộ lọc khả thi đầy đủ ràng buộc</t>
  </si>
  <si>
    <t>AC01: thêm tồn kho (33) + uy tín (46).
AC02: 30 ca không-khả-thi cố ý ⇒ 0 vi phạm (test tách riêng scoring).</t>
  </si>
  <si>
    <t>Chấm điểm: bỏ hardcode</t>
  </si>
  <si>
    <t>AC01: trọng số đọc cấu hình (task 30).
AC02: đổi cấu hình không restart.</t>
  </si>
  <si>
    <t>Kiểm hàng chuẩn</t>
  </si>
  <si>
    <t>AC01: đúng bộ kiểm của cấp chất lượng + phiên bản.
AC02: mỗi kết quả có ảnh.
AC03: trượt ⇒ phân loại lỗi + quy trách + nối in lại (18/35).</t>
  </si>
  <si>
    <t>Quản lý checklist &amp; loại lỗi</t>
  </si>
  <si>
    <t>AC01: checklist theo cấp, có phiên bản; đang dùng không xóa được.
AC02: màn QC ca mới dùng bản mới, hồ sơ cũ giữ nguyên.</t>
  </si>
  <si>
    <t>Xưởng tự đăng ký + admin duyệt</t>
  </si>
  <si>
    <t>AC01: khai lịch làm việc + thời gian chuyển hub.
AC02: chưa duyệt ⇒ không nhận job.</t>
  </si>
  <si>
    <t>Danh mục dùng chung</t>
  </si>
  <si>
    <t>AC01: vật liệu/màu/công nghệ/cấp; đang dùng ⇒ chỉ nghỉ dùng.
AC02: FE hết hardcode danh mục.</t>
  </si>
  <si>
    <t>Tự hiệu chỉnh ước lượng</t>
  </si>
  <si>
    <t>AC01: mỗi đêm gom cặp (ước lượng, thực tế)/model, loại ngoại lai, đủ mẫu mới tính.
AC02: MAPE giảm sau chu kỳ; không hồi tố cam kết cũ.</t>
  </si>
  <si>
    <t>Sổ + lịch + điểm xưởng</t>
  </si>
  <si>
    <t>AC01: lịch máy theo dòng thời gian cập nhật sau mỗi lần vá.
AC02: điểm tái lập được từ lịch sử job, có ngưỡng mẫu.
AC03: &lt;10 job ⇒ điểm tạm trung tính.</t>
  </si>
  <si>
    <t>Bảng vận hành mạng + can thiệp</t>
  </si>
  <si>
    <t>AC01: đơn mở/job nguy hiểm trễ/tải từng xưởng.
AC02: gán lại từ màn này phải qua bộ lọc, không bỏ tắt.
AC03: ưu tiên/treo/cap đều ghi lý do + audit.</t>
  </si>
  <si>
    <t>Báo cáo SLA</t>
  </si>
  <si>
    <t>AC01: kỳ + phạm vi + xuất; kỳ rỗng hiện "không có dữ liệu" chứ không số 0.</t>
  </si>
  <si>
    <t>49</t>
  </si>
  <si>
    <t>Luồng xin đổi ngày cam kết</t>
  </si>
  <si>
    <t>AC01: đúng 3 điều kiện đã duyệt; có văn bản xác nhận của khách.
AC02: từ chối ⇒ sang hoàn tiền (26).</t>
  </si>
  <si>
    <t>50</t>
  </si>
  <si>
    <t>Trạm mô phỏng toàn mạng</t>
  </si>
  <si>
    <t>AC01: đồng hồ ảo, lab/máy ảo, engine giữ nguyên.
AC02: cùng hạt giống ⇒ cùng kết quả.
AC03: sinh đơn ảo (mật độ/hỗn hợp) + 4 loại lỗi bơm vào (từ chối, hỏng theo %, chết máy, kiểm trượt).</t>
  </si>
  <si>
    <t>51</t>
  </si>
  <si>
    <t>Đo 4 chiến lược + báo cáo</t>
  </si>
  <si>
    <t>AC01: 4 chiến lược trên cùng dữ liệu vào.
AC02: bảng chỉ số + biểu đồ xuất file.</t>
  </si>
  <si>
    <t>52</t>
  </si>
  <si>
    <t>Vận hành</t>
  </si>
  <si>
    <t>Máy chủ demo + sao lưu thử</t>
  </si>
  <si>
    <t>AC01: staging công khai, webhook cấu hình thật.
AC02: khôi phục bản sao lưu ≤15 phút.</t>
  </si>
  <si>
    <t>53</t>
  </si>
  <si>
    <t>In thử nghiệm thật tại lab</t>
  </si>
  <si>
    <t>AC01: 5–10 job thật ghi (ước lượng, thực tế).</t>
  </si>
  <si>
    <t>54</t>
  </si>
  <si>
    <t>Bug bash + 3 màn kịch bản demo + hồ sơ</t>
  </si>
  <si>
    <t>AC01: không còn việc "Phải làm" đang Block.
AC02: 3 kịch bản chạy &lt;10 phút mỗi kịch bản.
AC03: hồ sơ 09–13 đánh dấu xong theo cột ở sheet 1.</t>
  </si>
  <si>
    <t>Tên</t>
  </si>
  <si>
    <t>Nhóm phụ trách chính (ghi)</t>
  </si>
  <si>
    <t>TẢI (tự cộng từ WBS)</t>
  </si>
  <si>
    <t>T1</t>
  </si>
  <si>
    <t>T2</t>
  </si>
  <si>
    <t>T3</t>
  </si>
  <si>
    <t>T4</t>
  </si>
  <si>
    <t>T5</t>
  </si>
  <si>
    <t>T6</t>
  </si>
  <si>
    <t>T7</t>
  </si>
  <si>
    <t>T8</t>
  </si>
  <si>
    <t>Tân</t>
  </si>
  <si>
    <t>Minh</t>
  </si>
  <si>
    <t>Nhật</t>
  </si>
  <si>
    <t>Tuấn</t>
  </si>
  <si>
    <t>Cộng mọi người</t>
  </si>
  <si>
    <t>TRẦN TẢI</t>
  </si>
  <si>
    <t>4 người × 8 tuần × ~4,3 ngày ≈ 138 ngày — tổng WBS ≈ 146. Vượt ở nhóm "Nên làm/Có thì tốt": ai trên 18 ngày nhượng lại dòng đó, đừng cắt chất lượng.</t>
  </si>
  <si>
    <t>Giai đoạn</t>
  </si>
  <si>
    <t>Việc chính (ID WBS)</t>
  </si>
  <si>
    <t>Cổng kiểm tra — không qua không đi tiếp</t>
  </si>
  <si>
    <t>0. Nền</t>
  </si>
  <si>
    <t>1–6, 12, 13, 14</t>
  </si>
  <si>
    <t>4 máy nền chung; upload ra thông số hình học THẬT</t>
  </si>
  <si>
    <t>1. Luồng chính (core flow)</t>
  </si>
  <si>
    <t>1–2</t>
  </si>
  <si>
    <t>5–11, 15–25, 27–29</t>
  </si>
  <si>
    <t>G-A: 1 đơn chạy hết chuỗi bằng cầu đánh dấu đã trả, không dòng nào từ dữ liệu mẫu; khách theo dõi realtime được</t>
  </si>
  <si>
    <t>2. Xử lý bất thường</t>
  </si>
  <si>
    <t>18, 31, 33–40, 49</t>
  </si>
  <si>
    <t>in hỏng 80% thời lượng ⇒ máy khác trong ≤30s mà khách không trễ</t>
  </si>
  <si>
    <t>3. Quản trị</t>
  </si>
  <si>
    <t>7–9, 30, 32, 39, 42–47</t>
  </si>
  <si>
    <t>admin đổi luật có hiệu lực ≤1 phút không khởi động lại; lab chỉ thấy việc của mình</t>
  </si>
  <si>
    <t>4. Nghiên cứu</t>
  </si>
  <si>
    <t>5–6</t>
  </si>
  <si>
    <t>45, 48, 50, 51</t>
  </si>
  <si>
    <t>1 lệnh ra bảng 4 chiến lược; cùng hạt giống cho cùng kết quả</t>
  </si>
  <si>
    <t>5. Chốt</t>
  </si>
  <si>
    <t>7–8</t>
  </si>
  <si>
    <t>24, 26, 52, 53, 54</t>
  </si>
  <si>
    <t>G-B: cổng 16 chỉ số đạt + đơn SEPay sandbox + 3 màn diễn tập 2 lần</t>
  </si>
  <si>
    <t>TRẢ LỜI CÂU HỎI "core flow tuần nào?"</t>
  </si>
  <si>
    <t>Tuần 1 bắt đầu, cổng G-A cuối tuần 2. Không có giai đoạn làm đẹp trước khi luồng chính chạy thật.</t>
  </si>
  <si>
    <t>Màn hình / thư mục FE</t>
  </si>
  <si>
    <t>Chủ (nhóm)</t>
  </si>
  <si>
    <t>Việc WBS động vào</t>
  </si>
  <si>
    <t>Luật để không giẫm nhau</t>
  </si>
  <si>
    <t>features/quotes (trang đặt hàng)</t>
  </si>
  <si>
    <t>Nhóm Đơn hàng—Thanh toán</t>
  </si>
  <si>
    <t>10, 22, 23</t>
  </si>
  <si>
    <t>Nhóm Engine chỉ sửa component QuoteResult của mình, không sửa trang</t>
  </si>
  <si>
    <t>features/quotes/QuoteResult (mới)</t>
  </si>
  <si>
    <t>Nhóm Engine</t>
  </si>
  <si>
    <t>15, 17</t>
  </si>
  <si>
    <t>Đọc DTO /quotes/{id}; FE khác không tự tính giá</t>
  </si>
  <si>
    <t>features/tracking, notifications</t>
  </si>
  <si>
    <t>Nhóm Cam kết</t>
  </si>
  <si>
    <t>19, 20, 27, 49</t>
  </si>
  <si>
    <t>Nhóm khác chỉ PHÁT event tên đã khóa, không sửa màn của nhau</t>
  </si>
  <si>
    <t>features/lab</t>
  </si>
  <si>
    <t>Nhóm Xưởng in</t>
  </si>
  <si>
    <t>21, 32–35, 46</t>
  </si>
  <si>
    <t>features/hub</t>
  </si>
  <si>
    <t>Nhóm Hub</t>
  </si>
  <si>
    <t>28, 29, 40</t>
  </si>
  <si>
    <t>Nút "in lại" chỉ gọi API; logic gán lại của Engine</t>
  </si>
  <si>
    <t>features/admin</t>
  </si>
  <si>
    <t>Nhóm Nền tảng</t>
  </si>
  <si>
    <t>11, 30, 42, 44</t>
  </si>
  <si>
    <t>thêm cột form = sửa hợp đồng trước</t>
  </si>
  <si>
    <t>features/auth, account</t>
  </si>
  <si>
    <t>3, 5, 8, 9</t>
  </si>
  <si>
    <t>3D đăng nhập giữ nguyên; số liệu phải từ API, không hardcode</t>
  </si>
  <si>
    <t>features/ops (DecisionLog/Refunds/Reports)</t>
  </si>
  <si>
    <t>tách 3 thư mục: Engine / Đơn hàng / Hub-Báo cáo</t>
  </si>
  <si>
    <t>31, 47, 26, 48</t>
  </si>
  <si>
    <t>không dùng file chung trong ops</t>
  </si>
  <si>
    <t>shared/, routes, theme, apiClient, HomeHeader</t>
  </si>
  <si>
    <t>CHỦ VỎ (Nhóm Nền tảng)</t>
  </si>
  <si>
    <t>mọi màn cần route</t>
  </si>
  <si>
    <t>ai cần route/menu: PR 1 dòng, chủ vỏ hợp nhất; cấm refactor chung khi chưa xin</t>
  </si>
  <si>
    <t>4 QUY TẮC CHỌN VIỆC</t>
  </si>
  <si>
    <t>① Chọn việc = chiếm thư mục đó TRONG TUẦN ĐÓ. 1 thư mục — 1 tuần — 1 người. Hai người cùng muốn ⇒ đổi tuần.</t>
  </si>
  <si>
    <t>② Bắt tay bằng hợp đồng + event + props, không bằng sửa file người khác. Cần gì ⇒ ghi chú vào việc của họ.</t>
  </si>
  <si>
    <t>③ shared/vỏ: chỉ chủ vỏ hợp nhất.</t>
  </si>
  <si>
    <t>④ Nhánh theo việc, hợp nhất hằng đêm; nhánh chạm file chung không sống quá 3 ngày.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</si>
</sst>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V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5" sqref="B5"/>
    </sheetView>
  </sheetViews>
  <sheetFormatPr defaultRowHeight="14.5" x14ac:dyDescent="0.35"/>
  <cols>
    <col min="1" max="1" width="24" customWidth="1"/>
    <col min="2" max="2" width="107.36328125" style="9" customWidth="1"/>
    <col min="3" max="3" width="30" customWidth="1"/>
  </cols>
  <sheetData>
    <row r="1" spans="1:3" s="1" customFormat="1" ht="18.5" x14ac:dyDescent="0.45">
      <c r="A1" s="1" t="s">
        <v>0</v>
      </c>
      <c r="B1" s="13"/>
    </row>
    <row r="3" spans="1:3" s="2" customFormat="1" x14ac:dyDescent="0.35">
      <c r="A3" s="2" t="s">
        <v>1</v>
      </c>
      <c r="B3" s="14" t="s">
        <v>2</v>
      </c>
      <c r="C3" s="2" t="s">
        <v>3</v>
      </c>
    </row>
    <row r="4" spans="1:3" ht="29" x14ac:dyDescent="0.35">
      <c r="A4" t="s">
        <v>4</v>
      </c>
      <c r="B4" s="9" t="s">
        <v>5</v>
      </c>
      <c r="C4" t="s">
        <v>6</v>
      </c>
    </row>
    <row r="5" spans="1:3" x14ac:dyDescent="0.35">
      <c r="A5" t="s">
        <v>7</v>
      </c>
      <c r="B5" s="9" t="s">
        <v>8</v>
      </c>
      <c r="C5" t="s">
        <v>9</v>
      </c>
    </row>
    <row r="6" spans="1:3" x14ac:dyDescent="0.35">
      <c r="A6" t="s">
        <v>10</v>
      </c>
      <c r="B6" s="9" t="s">
        <v>11</v>
      </c>
      <c r="C6" t="s">
        <v>12</v>
      </c>
    </row>
    <row r="7" spans="1:3" x14ac:dyDescent="0.35">
      <c r="A7" t="s">
        <v>13</v>
      </c>
      <c r="B7" s="9" t="s">
        <v>14</v>
      </c>
      <c r="C7" t="s">
        <v>15</v>
      </c>
    </row>
    <row r="8" spans="1:3" x14ac:dyDescent="0.35">
      <c r="A8" t="s">
        <v>16</v>
      </c>
      <c r="B8" s="9" t="s">
        <v>17</v>
      </c>
      <c r="C8" t="s">
        <v>18</v>
      </c>
    </row>
    <row r="10" spans="1:3" ht="29" x14ac:dyDescent="0.35">
      <c r="A10" t="s">
        <v>19</v>
      </c>
      <c r="B10" s="9" t="s">
        <v>20</v>
      </c>
    </row>
    <row r="11" spans="1:3" x14ac:dyDescent="0.35">
      <c r="A11" t="s">
        <v>21</v>
      </c>
      <c r="B11" s="9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4.5" x14ac:dyDescent="0.35"/>
  <cols>
    <col min="1" max="1" width="5" customWidth="1"/>
    <col min="2" max="2" width="16.7265625" style="9" customWidth="1"/>
    <col min="3" max="3" width="58" style="12" customWidth="1"/>
    <col min="4" max="4" width="16" customWidth="1"/>
    <col min="5" max="5" width="40" customWidth="1"/>
    <col min="6" max="6" width="16" style="9" customWidth="1"/>
    <col min="7" max="7" width="14" style="9" customWidth="1"/>
    <col min="8" max="8" width="13" customWidth="1"/>
    <col min="9" max="9" width="22" customWidth="1"/>
  </cols>
  <sheetData>
    <row r="1" spans="1:9" s="3" customFormat="1" ht="29" x14ac:dyDescent="0.35">
      <c r="A1" s="3" t="s">
        <v>23</v>
      </c>
      <c r="B1" s="8" t="s">
        <v>24</v>
      </c>
      <c r="C1" s="10" t="s">
        <v>25</v>
      </c>
      <c r="D1" s="3" t="s">
        <v>26</v>
      </c>
      <c r="E1" s="4" t="s">
        <v>27</v>
      </c>
      <c r="F1" s="8" t="s">
        <v>28</v>
      </c>
      <c r="G1" s="8" t="s">
        <v>29</v>
      </c>
      <c r="H1" s="3" t="s">
        <v>30</v>
      </c>
      <c r="I1" s="3" t="s">
        <v>31</v>
      </c>
    </row>
    <row r="2" spans="1:9" x14ac:dyDescent="0.35">
      <c r="A2" t="s">
        <v>32</v>
      </c>
      <c r="B2" s="6" t="s">
        <v>33</v>
      </c>
      <c r="C2" s="6"/>
      <c r="D2" s="6"/>
      <c r="E2" s="6"/>
      <c r="F2" s="6"/>
      <c r="G2" s="6"/>
      <c r="H2" s="6"/>
      <c r="I2" s="6"/>
    </row>
    <row r="3" spans="1:9" ht="29" x14ac:dyDescent="0.35">
      <c r="A3">
        <v>1</v>
      </c>
      <c r="B3" s="9" t="s">
        <v>34</v>
      </c>
      <c r="C3" s="11" t="s">
        <v>35</v>
      </c>
      <c r="D3" t="s">
        <v>36</v>
      </c>
      <c r="E3" s="5" t="s">
        <v>37</v>
      </c>
      <c r="F3" s="9" t="s">
        <v>32</v>
      </c>
      <c r="H3" t="s">
        <v>44</v>
      </c>
      <c r="I3" t="s">
        <v>39</v>
      </c>
    </row>
    <row r="4" spans="1:9" x14ac:dyDescent="0.35">
      <c r="A4">
        <v>2</v>
      </c>
      <c r="B4" s="9" t="s">
        <v>40</v>
      </c>
      <c r="C4" s="11" t="s">
        <v>41</v>
      </c>
      <c r="D4" t="s">
        <v>42</v>
      </c>
      <c r="E4" s="5" t="s">
        <v>43</v>
      </c>
      <c r="F4" s="9" t="s">
        <v>32</v>
      </c>
      <c r="G4" s="9" t="s">
        <v>32</v>
      </c>
      <c r="H4" t="s">
        <v>44</v>
      </c>
      <c r="I4" t="s">
        <v>45</v>
      </c>
    </row>
    <row r="5" spans="1:9" x14ac:dyDescent="0.35">
      <c r="A5">
        <v>3</v>
      </c>
      <c r="B5" s="9" t="s">
        <v>46</v>
      </c>
      <c r="C5" s="11" t="s">
        <v>47</v>
      </c>
      <c r="D5" t="s">
        <v>42</v>
      </c>
      <c r="E5" s="5" t="s">
        <v>48</v>
      </c>
      <c r="G5" s="9" t="s">
        <v>32</v>
      </c>
      <c r="H5" t="s">
        <v>44</v>
      </c>
      <c r="I5" t="s">
        <v>49</v>
      </c>
    </row>
    <row r="6" spans="1:9" x14ac:dyDescent="0.35">
      <c r="A6" t="s">
        <v>32</v>
      </c>
      <c r="B6" s="6" t="s">
        <v>50</v>
      </c>
      <c r="C6" s="6"/>
      <c r="D6" s="6"/>
      <c r="E6" s="6"/>
      <c r="F6" s="6"/>
      <c r="G6" s="6"/>
      <c r="H6" s="6"/>
      <c r="I6" s="6"/>
    </row>
    <row r="7" spans="1:9" x14ac:dyDescent="0.35">
      <c r="A7">
        <v>4</v>
      </c>
      <c r="B7" s="9" t="s">
        <v>51</v>
      </c>
      <c r="C7" s="11" t="s">
        <v>52</v>
      </c>
      <c r="D7" t="s">
        <v>42</v>
      </c>
      <c r="E7" s="5" t="s">
        <v>53</v>
      </c>
      <c r="F7" s="9" t="s">
        <v>32</v>
      </c>
      <c r="G7" s="9" t="s">
        <v>32</v>
      </c>
      <c r="H7" t="s">
        <v>44</v>
      </c>
      <c r="I7" t="s">
        <v>54</v>
      </c>
    </row>
    <row r="8" spans="1:9" x14ac:dyDescent="0.35">
      <c r="A8">
        <v>5</v>
      </c>
      <c r="B8" s="9" t="s">
        <v>55</v>
      </c>
      <c r="C8" s="11" t="s">
        <v>56</v>
      </c>
      <c r="D8" t="s">
        <v>42</v>
      </c>
      <c r="E8" s="5" t="s">
        <v>57</v>
      </c>
      <c r="G8" s="9" t="s">
        <v>32</v>
      </c>
      <c r="H8" t="s">
        <v>44</v>
      </c>
      <c r="I8" t="s">
        <v>58</v>
      </c>
    </row>
    <row r="9" spans="1:9" x14ac:dyDescent="0.35">
      <c r="A9">
        <v>6</v>
      </c>
      <c r="B9" s="9" t="s">
        <v>59</v>
      </c>
      <c r="C9" s="11" t="s">
        <v>60</v>
      </c>
      <c r="D9" t="s">
        <v>42</v>
      </c>
      <c r="E9" s="5" t="s">
        <v>53</v>
      </c>
      <c r="F9" s="9" t="s">
        <v>32</v>
      </c>
      <c r="G9" s="9" t="s">
        <v>32</v>
      </c>
      <c r="H9" t="s">
        <v>44</v>
      </c>
      <c r="I9" t="s">
        <v>61</v>
      </c>
    </row>
    <row r="10" spans="1:9" x14ac:dyDescent="0.35">
      <c r="A10" t="s">
        <v>32</v>
      </c>
      <c r="B10" s="6" t="s">
        <v>62</v>
      </c>
      <c r="C10" s="6"/>
      <c r="D10" s="6"/>
      <c r="E10" s="6"/>
      <c r="F10" s="6"/>
      <c r="G10" s="6"/>
      <c r="H10" s="6"/>
      <c r="I10" s="6"/>
    </row>
    <row r="11" spans="1:9" ht="29" x14ac:dyDescent="0.35">
      <c r="A11">
        <v>7</v>
      </c>
      <c r="B11" s="9" t="s">
        <v>63</v>
      </c>
      <c r="C11" s="11" t="s">
        <v>64</v>
      </c>
      <c r="D11" t="s">
        <v>36</v>
      </c>
      <c r="E11" s="5" t="s">
        <v>65</v>
      </c>
      <c r="F11" s="9" t="s">
        <v>32</v>
      </c>
      <c r="G11" s="9" t="s">
        <v>32</v>
      </c>
      <c r="H11" t="s">
        <v>38</v>
      </c>
      <c r="I11" t="s">
        <v>66</v>
      </c>
    </row>
    <row r="12" spans="1:9" x14ac:dyDescent="0.35">
      <c r="A12">
        <v>8</v>
      </c>
      <c r="B12" s="9" t="s">
        <v>67</v>
      </c>
      <c r="C12" s="11" t="s">
        <v>68</v>
      </c>
      <c r="D12" t="s">
        <v>36</v>
      </c>
      <c r="E12" s="5" t="s">
        <v>53</v>
      </c>
      <c r="F12" s="9" t="s">
        <v>32</v>
      </c>
      <c r="G12" s="9" t="s">
        <v>32</v>
      </c>
      <c r="H12" t="s">
        <v>44</v>
      </c>
      <c r="I12" t="s">
        <v>66</v>
      </c>
    </row>
    <row r="13" spans="1:9" x14ac:dyDescent="0.35">
      <c r="A13">
        <v>9</v>
      </c>
      <c r="B13" s="9" t="s">
        <v>69</v>
      </c>
      <c r="C13" s="11" t="s">
        <v>70</v>
      </c>
      <c r="D13" t="s">
        <v>36</v>
      </c>
      <c r="E13" s="5" t="s">
        <v>71</v>
      </c>
      <c r="F13" s="9" t="s">
        <v>32</v>
      </c>
      <c r="G13" s="9" t="s">
        <v>32</v>
      </c>
      <c r="H13" t="s">
        <v>44</v>
      </c>
      <c r="I13" t="s">
        <v>72</v>
      </c>
    </row>
    <row r="14" spans="1:9" ht="29" x14ac:dyDescent="0.35">
      <c r="A14">
        <v>10</v>
      </c>
      <c r="B14" s="9" t="s">
        <v>73</v>
      </c>
      <c r="C14" s="11" t="s">
        <v>74</v>
      </c>
      <c r="D14" t="s">
        <v>36</v>
      </c>
      <c r="E14" s="5" t="s">
        <v>75</v>
      </c>
      <c r="F14" s="9" t="s">
        <v>32</v>
      </c>
      <c r="G14" s="9" t="s">
        <v>32</v>
      </c>
      <c r="H14" t="s">
        <v>38</v>
      </c>
      <c r="I14" t="s">
        <v>66</v>
      </c>
    </row>
    <row r="15" spans="1:9" x14ac:dyDescent="0.35">
      <c r="A15">
        <v>11</v>
      </c>
      <c r="B15" s="9" t="s">
        <v>76</v>
      </c>
      <c r="C15" s="11" t="s">
        <v>77</v>
      </c>
      <c r="D15" t="s">
        <v>36</v>
      </c>
      <c r="E15" s="5" t="s">
        <v>78</v>
      </c>
      <c r="F15" s="9" t="s">
        <v>32</v>
      </c>
      <c r="G15" s="9" t="s">
        <v>32</v>
      </c>
      <c r="H15" t="s">
        <v>38</v>
      </c>
      <c r="I15" t="s">
        <v>79</v>
      </c>
    </row>
    <row r="16" spans="1:9" x14ac:dyDescent="0.35">
      <c r="A16">
        <v>12</v>
      </c>
      <c r="B16" s="9" t="s">
        <v>80</v>
      </c>
      <c r="C16" s="11" t="s">
        <v>81</v>
      </c>
      <c r="D16" t="s">
        <v>36</v>
      </c>
      <c r="E16" s="5" t="s">
        <v>82</v>
      </c>
      <c r="F16" s="9" t="s">
        <v>32</v>
      </c>
      <c r="G16" s="9" t="s">
        <v>32</v>
      </c>
      <c r="H16" t="s">
        <v>38</v>
      </c>
      <c r="I16" t="s">
        <v>66</v>
      </c>
    </row>
    <row r="17" spans="1:9" x14ac:dyDescent="0.35">
      <c r="A17" t="s">
        <v>32</v>
      </c>
      <c r="B17" s="6" t="s">
        <v>83</v>
      </c>
      <c r="C17" s="6"/>
      <c r="D17" s="6"/>
      <c r="E17" s="6"/>
      <c r="F17" s="6"/>
      <c r="G17" s="6"/>
      <c r="H17" s="6"/>
      <c r="I17" s="6"/>
    </row>
    <row r="18" spans="1:9" x14ac:dyDescent="0.35">
      <c r="A18">
        <v>13</v>
      </c>
      <c r="B18" s="9" t="s">
        <v>84</v>
      </c>
      <c r="C18" s="11" t="s">
        <v>85</v>
      </c>
      <c r="D18" t="s">
        <v>36</v>
      </c>
      <c r="E18" s="5" t="s">
        <v>86</v>
      </c>
      <c r="F18" s="9" t="s">
        <v>32</v>
      </c>
      <c r="G18" s="9" t="s">
        <v>32</v>
      </c>
      <c r="H18" t="s">
        <v>38</v>
      </c>
      <c r="I18" t="s">
        <v>87</v>
      </c>
    </row>
    <row r="19" spans="1:9" ht="29" x14ac:dyDescent="0.35">
      <c r="A19">
        <v>14</v>
      </c>
      <c r="B19" s="9" t="s">
        <v>88</v>
      </c>
      <c r="C19" s="11" t="s">
        <v>89</v>
      </c>
      <c r="D19" t="s">
        <v>36</v>
      </c>
      <c r="E19" s="5" t="s">
        <v>90</v>
      </c>
      <c r="F19" s="9" t="s">
        <v>32</v>
      </c>
      <c r="G19" s="9" t="s">
        <v>32</v>
      </c>
      <c r="H19" t="s">
        <v>44</v>
      </c>
      <c r="I19" t="s">
        <v>91</v>
      </c>
    </row>
    <row r="20" spans="1:9" x14ac:dyDescent="0.35">
      <c r="A20">
        <v>15</v>
      </c>
      <c r="B20" s="9" t="s">
        <v>92</v>
      </c>
      <c r="C20" s="11" t="s">
        <v>93</v>
      </c>
      <c r="D20" t="s">
        <v>94</v>
      </c>
      <c r="E20" s="5" t="s">
        <v>53</v>
      </c>
      <c r="F20" s="9" t="s">
        <v>32</v>
      </c>
      <c r="G20" s="9" t="s">
        <v>32</v>
      </c>
      <c r="H20" t="s">
        <v>44</v>
      </c>
      <c r="I20" t="s">
        <v>95</v>
      </c>
    </row>
    <row r="21" spans="1:9" x14ac:dyDescent="0.35">
      <c r="A21" t="s">
        <v>32</v>
      </c>
      <c r="B21" s="6" t="s">
        <v>96</v>
      </c>
      <c r="C21" s="6"/>
      <c r="D21" s="6"/>
      <c r="E21" s="6"/>
      <c r="F21" s="6"/>
      <c r="G21" s="6"/>
      <c r="H21" s="6"/>
      <c r="I21" s="6"/>
    </row>
    <row r="22" spans="1:9" x14ac:dyDescent="0.35">
      <c r="A22">
        <v>16</v>
      </c>
      <c r="B22" s="9" t="s">
        <v>97</v>
      </c>
      <c r="C22" s="11" t="s">
        <v>98</v>
      </c>
      <c r="D22" t="s">
        <v>36</v>
      </c>
      <c r="E22" s="5" t="s">
        <v>99</v>
      </c>
      <c r="F22" s="9" t="s">
        <v>32</v>
      </c>
      <c r="G22" s="9" t="s">
        <v>32</v>
      </c>
      <c r="H22" t="s">
        <v>38</v>
      </c>
      <c r="I22" t="s">
        <v>100</v>
      </c>
    </row>
    <row r="23" spans="1:9" x14ac:dyDescent="0.35">
      <c r="A23">
        <v>17</v>
      </c>
      <c r="B23" s="9" t="s">
        <v>101</v>
      </c>
      <c r="C23" s="11" t="s">
        <v>102</v>
      </c>
      <c r="D23" t="s">
        <v>36</v>
      </c>
      <c r="E23" s="5" t="s">
        <v>53</v>
      </c>
      <c r="F23" s="9" t="s">
        <v>32</v>
      </c>
      <c r="G23" s="9" t="s">
        <v>32</v>
      </c>
      <c r="H23" t="s">
        <v>44</v>
      </c>
      <c r="I23" t="s">
        <v>103</v>
      </c>
    </row>
    <row r="24" spans="1:9" x14ac:dyDescent="0.35">
      <c r="A24" t="s">
        <v>32</v>
      </c>
      <c r="B24" s="6" t="s">
        <v>104</v>
      </c>
      <c r="C24" s="6"/>
      <c r="D24" s="6"/>
      <c r="E24" s="6"/>
      <c r="F24" s="6"/>
      <c r="G24" s="6"/>
      <c r="H24" s="6"/>
      <c r="I24" s="6"/>
    </row>
    <row r="25" spans="1:9" x14ac:dyDescent="0.35">
      <c r="A25">
        <v>18</v>
      </c>
      <c r="B25" s="9" t="s">
        <v>105</v>
      </c>
      <c r="C25" s="11" t="s">
        <v>106</v>
      </c>
      <c r="D25" t="s">
        <v>107</v>
      </c>
      <c r="E25" s="5" t="s">
        <v>53</v>
      </c>
      <c r="F25" s="9" t="s">
        <v>32</v>
      </c>
      <c r="G25" s="9" t="s">
        <v>32</v>
      </c>
      <c r="H25" t="s">
        <v>44</v>
      </c>
      <c r="I25" t="s">
        <v>108</v>
      </c>
    </row>
    <row r="26" spans="1:9" x14ac:dyDescent="0.35">
      <c r="A26">
        <v>19</v>
      </c>
      <c r="B26" s="9" t="s">
        <v>109</v>
      </c>
      <c r="C26" s="11" t="s">
        <v>110</v>
      </c>
      <c r="D26" t="s">
        <v>107</v>
      </c>
      <c r="E26" s="5" t="s">
        <v>111</v>
      </c>
      <c r="F26" s="9" t="s">
        <v>32</v>
      </c>
      <c r="G26" s="9" t="s">
        <v>32</v>
      </c>
      <c r="H26" t="s">
        <v>38</v>
      </c>
      <c r="I26" t="s">
        <v>112</v>
      </c>
    </row>
    <row r="27" spans="1:9" x14ac:dyDescent="0.35">
      <c r="A27">
        <v>20</v>
      </c>
      <c r="B27" s="9" t="s">
        <v>113</v>
      </c>
      <c r="C27" s="11" t="s">
        <v>114</v>
      </c>
      <c r="D27" t="s">
        <v>107</v>
      </c>
      <c r="E27" s="5" t="s">
        <v>53</v>
      </c>
      <c r="F27" s="9" t="s">
        <v>32</v>
      </c>
      <c r="G27" s="9" t="s">
        <v>32</v>
      </c>
      <c r="H27" t="s">
        <v>44</v>
      </c>
      <c r="I27" t="s">
        <v>115</v>
      </c>
    </row>
    <row r="28" spans="1:9" x14ac:dyDescent="0.35">
      <c r="A28">
        <v>21</v>
      </c>
      <c r="B28" s="9" t="s">
        <v>116</v>
      </c>
      <c r="C28" s="11" t="s">
        <v>117</v>
      </c>
      <c r="D28" t="s">
        <v>107</v>
      </c>
      <c r="E28" s="5" t="s">
        <v>118</v>
      </c>
      <c r="F28" s="9" t="s">
        <v>32</v>
      </c>
      <c r="G28" s="9" t="s">
        <v>32</v>
      </c>
      <c r="H28" t="s">
        <v>38</v>
      </c>
      <c r="I28" t="s">
        <v>119</v>
      </c>
    </row>
    <row r="29" spans="1:9" ht="29" x14ac:dyDescent="0.35">
      <c r="A29">
        <v>22</v>
      </c>
      <c r="B29" s="9" t="s">
        <v>120</v>
      </c>
      <c r="C29" s="11" t="s">
        <v>121</v>
      </c>
      <c r="D29" t="s">
        <v>122</v>
      </c>
      <c r="E29" s="5" t="s">
        <v>123</v>
      </c>
      <c r="F29" s="9" t="s">
        <v>32</v>
      </c>
      <c r="G29" s="9" t="s">
        <v>32</v>
      </c>
      <c r="H29" t="s">
        <v>38</v>
      </c>
      <c r="I29" t="s">
        <v>124</v>
      </c>
    </row>
    <row r="30" spans="1:9" x14ac:dyDescent="0.35">
      <c r="A30">
        <v>23</v>
      </c>
      <c r="B30" s="9" t="s">
        <v>125</v>
      </c>
      <c r="C30" s="11" t="s">
        <v>126</v>
      </c>
      <c r="D30" t="s">
        <v>107</v>
      </c>
      <c r="E30" s="5" t="s">
        <v>53</v>
      </c>
      <c r="F30" s="9" t="s">
        <v>32</v>
      </c>
      <c r="G30" s="9" t="s">
        <v>32</v>
      </c>
      <c r="H30" t="s">
        <v>44</v>
      </c>
      <c r="I30" t="s">
        <v>127</v>
      </c>
    </row>
    <row r="31" spans="1:9" x14ac:dyDescent="0.35">
      <c r="A31">
        <v>24</v>
      </c>
      <c r="B31" s="9" t="s">
        <v>128</v>
      </c>
      <c r="C31" s="11" t="s">
        <v>129</v>
      </c>
      <c r="D31" t="s">
        <v>107</v>
      </c>
      <c r="E31" s="5" t="s">
        <v>53</v>
      </c>
      <c r="F31" s="9" t="s">
        <v>32</v>
      </c>
      <c r="G31" s="9" t="s">
        <v>32</v>
      </c>
      <c r="H31" t="s">
        <v>44</v>
      </c>
      <c r="I31" t="s">
        <v>127</v>
      </c>
    </row>
    <row r="32" spans="1:9" x14ac:dyDescent="0.35">
      <c r="A32" t="s">
        <v>32</v>
      </c>
      <c r="B32" s="6" t="s">
        <v>130</v>
      </c>
      <c r="C32" s="6"/>
      <c r="D32" s="6"/>
      <c r="E32" s="6"/>
      <c r="F32" s="6"/>
      <c r="G32" s="6"/>
      <c r="H32" s="6"/>
      <c r="I32" s="6"/>
    </row>
    <row r="33" spans="1:9" x14ac:dyDescent="0.35">
      <c r="A33">
        <v>25</v>
      </c>
      <c r="B33" s="9" t="s">
        <v>131</v>
      </c>
      <c r="C33" s="11" t="s">
        <v>132</v>
      </c>
      <c r="D33" t="s">
        <v>133</v>
      </c>
      <c r="E33" s="5" t="s">
        <v>53</v>
      </c>
      <c r="F33" s="9" t="s">
        <v>32</v>
      </c>
      <c r="G33" s="9" t="s">
        <v>32</v>
      </c>
      <c r="H33" t="s">
        <v>44</v>
      </c>
      <c r="I33" t="s">
        <v>134</v>
      </c>
    </row>
    <row r="34" spans="1:9" x14ac:dyDescent="0.35">
      <c r="A34">
        <v>26</v>
      </c>
      <c r="B34" s="9" t="s">
        <v>135</v>
      </c>
      <c r="C34" s="11" t="s">
        <v>136</v>
      </c>
      <c r="D34" t="s">
        <v>133</v>
      </c>
      <c r="E34" s="5" t="s">
        <v>137</v>
      </c>
      <c r="F34" s="9" t="s">
        <v>32</v>
      </c>
      <c r="G34" s="9" t="s">
        <v>32</v>
      </c>
      <c r="H34" t="s">
        <v>38</v>
      </c>
      <c r="I34" t="s">
        <v>138</v>
      </c>
    </row>
    <row r="35" spans="1:9" ht="29" x14ac:dyDescent="0.35">
      <c r="A35">
        <v>27</v>
      </c>
      <c r="B35" s="9" t="s">
        <v>139</v>
      </c>
      <c r="C35" s="11" t="s">
        <v>140</v>
      </c>
      <c r="D35" t="s">
        <v>133</v>
      </c>
      <c r="E35" s="5" t="s">
        <v>141</v>
      </c>
      <c r="F35" s="9" t="s">
        <v>32</v>
      </c>
      <c r="G35" s="9" t="s">
        <v>32</v>
      </c>
      <c r="H35" t="s">
        <v>38</v>
      </c>
      <c r="I35" t="s">
        <v>142</v>
      </c>
    </row>
    <row r="36" spans="1:9" x14ac:dyDescent="0.35">
      <c r="A36">
        <v>28</v>
      </c>
      <c r="B36" s="9" t="s">
        <v>143</v>
      </c>
      <c r="C36" s="11" t="s">
        <v>144</v>
      </c>
      <c r="D36" t="s">
        <v>145</v>
      </c>
      <c r="E36" s="5" t="s">
        <v>53</v>
      </c>
      <c r="F36" s="9" t="s">
        <v>32</v>
      </c>
      <c r="G36" s="9" t="s">
        <v>32</v>
      </c>
      <c r="H36" t="s">
        <v>44</v>
      </c>
      <c r="I36" t="s">
        <v>146</v>
      </c>
    </row>
    <row r="37" spans="1:9" x14ac:dyDescent="0.35">
      <c r="A37">
        <v>29</v>
      </c>
      <c r="B37" s="9" t="s">
        <v>147</v>
      </c>
      <c r="C37" s="11" t="s">
        <v>148</v>
      </c>
      <c r="D37" t="s">
        <v>145</v>
      </c>
      <c r="E37" s="5" t="s">
        <v>53</v>
      </c>
      <c r="F37" s="9" t="s">
        <v>32</v>
      </c>
      <c r="G37" s="9" t="s">
        <v>32</v>
      </c>
      <c r="H37" t="s">
        <v>44</v>
      </c>
      <c r="I37" t="s">
        <v>146</v>
      </c>
    </row>
    <row r="38" spans="1:9" x14ac:dyDescent="0.35">
      <c r="A38" t="s">
        <v>32</v>
      </c>
      <c r="B38" s="6" t="s">
        <v>149</v>
      </c>
      <c r="C38" s="6"/>
      <c r="D38" s="6"/>
      <c r="E38" s="6"/>
      <c r="F38" s="6"/>
      <c r="G38" s="6"/>
      <c r="H38" s="6"/>
      <c r="I38" s="6"/>
    </row>
    <row r="39" spans="1:9" ht="29" x14ac:dyDescent="0.35">
      <c r="A39">
        <v>30</v>
      </c>
      <c r="B39" s="9" t="s">
        <v>150</v>
      </c>
      <c r="C39" s="11" t="s">
        <v>151</v>
      </c>
      <c r="D39" t="s">
        <v>152</v>
      </c>
      <c r="E39" s="5" t="s">
        <v>153</v>
      </c>
      <c r="F39" s="9" t="s">
        <v>32</v>
      </c>
      <c r="G39" s="9" t="s">
        <v>32</v>
      </c>
      <c r="H39" t="s">
        <v>38</v>
      </c>
      <c r="I39" t="s">
        <v>72</v>
      </c>
    </row>
    <row r="40" spans="1:9" ht="29" x14ac:dyDescent="0.35">
      <c r="A40">
        <v>31</v>
      </c>
      <c r="B40" s="9" t="s">
        <v>154</v>
      </c>
      <c r="C40" s="11" t="s">
        <v>155</v>
      </c>
      <c r="D40" t="s">
        <v>152</v>
      </c>
      <c r="E40" s="5" t="s">
        <v>156</v>
      </c>
      <c r="F40" s="9" t="s">
        <v>32</v>
      </c>
      <c r="G40" s="9" t="s">
        <v>32</v>
      </c>
      <c r="H40" t="s">
        <v>38</v>
      </c>
      <c r="I40" t="s">
        <v>157</v>
      </c>
    </row>
    <row r="41" spans="1:9" x14ac:dyDescent="0.35">
      <c r="A41">
        <v>32</v>
      </c>
      <c r="B41" s="9" t="s">
        <v>158</v>
      </c>
      <c r="C41" s="11" t="s">
        <v>159</v>
      </c>
      <c r="D41" t="s">
        <v>152</v>
      </c>
      <c r="E41" s="5" t="s">
        <v>160</v>
      </c>
      <c r="F41" s="9" t="s">
        <v>32</v>
      </c>
      <c r="G41" s="9" t="s">
        <v>32</v>
      </c>
      <c r="H41" t="s">
        <v>38</v>
      </c>
      <c r="I41" t="s">
        <v>161</v>
      </c>
    </row>
    <row r="42" spans="1:9" x14ac:dyDescent="0.35">
      <c r="A42">
        <v>33</v>
      </c>
      <c r="B42" s="9" t="s">
        <v>162</v>
      </c>
      <c r="C42" s="11" t="s">
        <v>163</v>
      </c>
      <c r="D42" t="s">
        <v>152</v>
      </c>
      <c r="E42" s="5" t="s">
        <v>164</v>
      </c>
      <c r="F42" s="9" t="s">
        <v>32</v>
      </c>
      <c r="G42" s="9" t="s">
        <v>32</v>
      </c>
      <c r="H42" t="s">
        <v>38</v>
      </c>
      <c r="I42" t="s">
        <v>165</v>
      </c>
    </row>
    <row r="43" spans="1:9" x14ac:dyDescent="0.35">
      <c r="A43">
        <v>34</v>
      </c>
      <c r="B43" s="9" t="s">
        <v>166</v>
      </c>
      <c r="C43" s="11" t="s">
        <v>167</v>
      </c>
      <c r="D43" t="s">
        <v>152</v>
      </c>
      <c r="E43" s="5" t="s">
        <v>168</v>
      </c>
      <c r="F43" s="9" t="s">
        <v>32</v>
      </c>
      <c r="G43" s="9" t="s">
        <v>32</v>
      </c>
      <c r="H43" t="s">
        <v>44</v>
      </c>
      <c r="I43" t="s">
        <v>169</v>
      </c>
    </row>
    <row r="44" spans="1:9" x14ac:dyDescent="0.35">
      <c r="A44">
        <v>35</v>
      </c>
      <c r="B44" s="9" t="s">
        <v>170</v>
      </c>
      <c r="C44" s="11" t="s">
        <v>171</v>
      </c>
      <c r="D44" t="s">
        <v>152</v>
      </c>
      <c r="E44" s="5" t="s">
        <v>172</v>
      </c>
      <c r="F44" s="9" t="s">
        <v>32</v>
      </c>
      <c r="G44" s="9" t="s">
        <v>32</v>
      </c>
      <c r="H44" t="s">
        <v>38</v>
      </c>
      <c r="I44" t="s">
        <v>173</v>
      </c>
    </row>
    <row r="45" spans="1:9" x14ac:dyDescent="0.35">
      <c r="A45">
        <v>36</v>
      </c>
      <c r="B45" s="9" t="s">
        <v>174</v>
      </c>
      <c r="C45" s="11" t="s">
        <v>175</v>
      </c>
      <c r="D45" t="s">
        <v>152</v>
      </c>
      <c r="E45" s="5" t="s">
        <v>53</v>
      </c>
      <c r="F45" s="9" t="s">
        <v>32</v>
      </c>
      <c r="G45" s="9" t="s">
        <v>32</v>
      </c>
      <c r="H45" t="s">
        <v>44</v>
      </c>
      <c r="I45" t="s">
        <v>176</v>
      </c>
    </row>
    <row r="46" spans="1:9" x14ac:dyDescent="0.35">
      <c r="A46">
        <v>37</v>
      </c>
      <c r="B46" s="9" t="s">
        <v>177</v>
      </c>
      <c r="C46" s="11" t="s">
        <v>178</v>
      </c>
      <c r="D46" t="s">
        <v>152</v>
      </c>
      <c r="E46" s="5" t="s">
        <v>179</v>
      </c>
      <c r="F46" s="9" t="s">
        <v>32</v>
      </c>
      <c r="G46" s="9" t="s">
        <v>32</v>
      </c>
      <c r="H46" t="s">
        <v>38</v>
      </c>
      <c r="I46" t="s">
        <v>180</v>
      </c>
    </row>
    <row r="47" spans="1:9" x14ac:dyDescent="0.35">
      <c r="A47">
        <v>38</v>
      </c>
      <c r="B47" s="9" t="s">
        <v>181</v>
      </c>
      <c r="C47" s="11" t="s">
        <v>182</v>
      </c>
      <c r="D47" t="s">
        <v>152</v>
      </c>
      <c r="E47" s="5" t="s">
        <v>53</v>
      </c>
      <c r="F47" s="9" t="s">
        <v>32</v>
      </c>
      <c r="G47" s="9" t="s">
        <v>32</v>
      </c>
      <c r="H47" t="s">
        <v>44</v>
      </c>
      <c r="I47" t="s">
        <v>183</v>
      </c>
    </row>
    <row r="48" spans="1:9" x14ac:dyDescent="0.35">
      <c r="A48">
        <v>39</v>
      </c>
      <c r="B48" s="9" t="s">
        <v>184</v>
      </c>
      <c r="C48" s="11" t="s">
        <v>185</v>
      </c>
      <c r="D48" t="s">
        <v>152</v>
      </c>
      <c r="E48" s="5" t="s">
        <v>53</v>
      </c>
      <c r="F48" s="9" t="s">
        <v>32</v>
      </c>
      <c r="G48" s="9" t="s">
        <v>32</v>
      </c>
      <c r="H48" t="s">
        <v>44</v>
      </c>
      <c r="I48" t="s">
        <v>186</v>
      </c>
    </row>
    <row r="49" spans="1:9" x14ac:dyDescent="0.35">
      <c r="A49" t="s">
        <v>32</v>
      </c>
      <c r="B49" s="6" t="s">
        <v>187</v>
      </c>
      <c r="C49" s="6"/>
      <c r="D49" s="6"/>
      <c r="E49" s="6"/>
      <c r="F49" s="6"/>
      <c r="G49" s="6"/>
      <c r="H49" s="6"/>
      <c r="I49" s="6"/>
    </row>
    <row r="50" spans="1:9" x14ac:dyDescent="0.35">
      <c r="A50">
        <v>40</v>
      </c>
      <c r="B50" s="9" t="s">
        <v>188</v>
      </c>
      <c r="C50" s="11" t="s">
        <v>189</v>
      </c>
      <c r="D50" t="s">
        <v>94</v>
      </c>
      <c r="E50" s="5" t="s">
        <v>53</v>
      </c>
      <c r="F50" s="9" t="s">
        <v>32</v>
      </c>
      <c r="G50" s="9" t="s">
        <v>32</v>
      </c>
      <c r="H50" t="s">
        <v>44</v>
      </c>
      <c r="I50" t="s">
        <v>190</v>
      </c>
    </row>
    <row r="51" spans="1:9" x14ac:dyDescent="0.35">
      <c r="A51">
        <v>41</v>
      </c>
      <c r="B51" s="9" t="s">
        <v>191</v>
      </c>
      <c r="C51" s="11" t="s">
        <v>192</v>
      </c>
      <c r="D51" t="s">
        <v>94</v>
      </c>
      <c r="E51" s="5" t="s">
        <v>53</v>
      </c>
      <c r="F51" s="9" t="s">
        <v>32</v>
      </c>
      <c r="G51" s="9" t="s">
        <v>32</v>
      </c>
      <c r="H51" t="s">
        <v>44</v>
      </c>
      <c r="I51" t="s">
        <v>127</v>
      </c>
    </row>
    <row r="52" spans="1:9" x14ac:dyDescent="0.35">
      <c r="A52">
        <v>42</v>
      </c>
      <c r="B52" s="9" t="s">
        <v>193</v>
      </c>
      <c r="C52" s="11" t="s">
        <v>194</v>
      </c>
      <c r="D52" t="s">
        <v>94</v>
      </c>
      <c r="E52" s="5" t="s">
        <v>53</v>
      </c>
      <c r="F52" s="9" t="s">
        <v>32</v>
      </c>
      <c r="G52" s="9" t="s">
        <v>32</v>
      </c>
      <c r="H52" t="s">
        <v>44</v>
      </c>
      <c r="I52" t="s">
        <v>195</v>
      </c>
    </row>
    <row r="53" spans="1:9" x14ac:dyDescent="0.35">
      <c r="A53">
        <v>43</v>
      </c>
      <c r="B53" s="9" t="s">
        <v>196</v>
      </c>
      <c r="C53" s="11" t="s">
        <v>197</v>
      </c>
      <c r="D53" t="s">
        <v>94</v>
      </c>
      <c r="E53" s="5" t="s">
        <v>198</v>
      </c>
      <c r="F53" s="9" t="s">
        <v>32</v>
      </c>
      <c r="G53" s="9" t="s">
        <v>32</v>
      </c>
      <c r="H53" t="s">
        <v>38</v>
      </c>
      <c r="I53" t="s">
        <v>190</v>
      </c>
    </row>
  </sheetData>
  <mergeCells count="9">
    <mergeCell ref="B24:I24"/>
    <mergeCell ref="B32:I32"/>
    <mergeCell ref="B38:I38"/>
    <mergeCell ref="B49:I49"/>
    <mergeCell ref="B2:I2"/>
    <mergeCell ref="B6:I6"/>
    <mergeCell ref="B10:I10"/>
    <mergeCell ref="B17:I17"/>
    <mergeCell ref="B21:I21"/>
  </mergeCells>
  <dataValidations count="1">
    <dataValidation type="list" allowBlank="1" sqref="H11:H16 H7:H9 H50:H53 H39:H48 H33:H37 H3:H5 H25:H31 H22:H23 H18:H20" xr:uid="{00000000-0002-0000-0100-000009000000}">
      <formula1>"Chưa làm,Đang làm,Xong,Block,Bỏ qua"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TV!#REF!</xm:f>
          </x14:formula1>
          <xm:sqref>F11:F16 F7:F9 F50:F53 F39:F48 F33:F37 F3:F5 F25:F31 F22:F23 F18:F20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5" customWidth="1"/>
    <col min="2" max="2" width="11" customWidth="1"/>
    <col min="3" max="3" width="40" customWidth="1"/>
    <col min="4" max="4" width="90" customWidth="1"/>
    <col min="5" max="5" width="7" customWidth="1"/>
    <col min="6" max="6" width="13" customWidth="1"/>
    <col min="7" max="7" width="16" customWidth="1"/>
    <col min="8" max="8" width="13" customWidth="1"/>
  </cols>
  <sheetData>
    <row r="1" spans="1:8" s="3" customFormat="1" x14ac:dyDescent="0.35">
      <c r="A1" s="3" t="s">
        <v>199</v>
      </c>
      <c r="B1" s="3" t="s">
        <v>200</v>
      </c>
      <c r="C1" s="4" t="s">
        <v>201</v>
      </c>
      <c r="D1" s="4" t="s">
        <v>202</v>
      </c>
      <c r="E1" s="3" t="s">
        <v>203</v>
      </c>
      <c r="F1" s="3" t="s">
        <v>204</v>
      </c>
      <c r="G1" s="3" t="s">
        <v>205</v>
      </c>
      <c r="H1" s="3" t="s">
        <v>206</v>
      </c>
    </row>
    <row r="2" spans="1:8" ht="72.5" x14ac:dyDescent="0.35">
      <c r="A2" t="s">
        <v>207</v>
      </c>
      <c r="B2" t="s">
        <v>208</v>
      </c>
      <c r="C2" s="5" t="s">
        <v>209</v>
      </c>
      <c r="D2" s="5" t="s">
        <v>210</v>
      </c>
      <c r="E2">
        <v>1</v>
      </c>
      <c r="F2">
        <v>1</v>
      </c>
      <c r="H2" t="s">
        <v>44</v>
      </c>
    </row>
    <row r="3" spans="1:8" ht="58" x14ac:dyDescent="0.35">
      <c r="A3" t="s">
        <v>211</v>
      </c>
      <c r="B3" t="s">
        <v>212</v>
      </c>
      <c r="C3" s="5" t="s">
        <v>213</v>
      </c>
      <c r="D3" s="5" t="s">
        <v>214</v>
      </c>
      <c r="E3">
        <v>1</v>
      </c>
      <c r="F3">
        <v>3</v>
      </c>
      <c r="G3" t="s">
        <v>32</v>
      </c>
      <c r="H3" t="s">
        <v>44</v>
      </c>
    </row>
    <row r="4" spans="1:8" ht="58" x14ac:dyDescent="0.35">
      <c r="A4" t="s">
        <v>215</v>
      </c>
      <c r="B4" t="s">
        <v>216</v>
      </c>
      <c r="C4" s="5" t="s">
        <v>217</v>
      </c>
      <c r="D4" s="5" t="s">
        <v>218</v>
      </c>
      <c r="E4">
        <v>1</v>
      </c>
      <c r="F4">
        <v>0.5</v>
      </c>
      <c r="G4" t="s">
        <v>32</v>
      </c>
      <c r="H4" t="s">
        <v>44</v>
      </c>
    </row>
    <row r="5" spans="1:8" ht="58" x14ac:dyDescent="0.35">
      <c r="A5" t="s">
        <v>219</v>
      </c>
      <c r="B5" t="s">
        <v>212</v>
      </c>
      <c r="C5" s="5" t="s">
        <v>220</v>
      </c>
      <c r="D5" s="5" t="s">
        <v>221</v>
      </c>
      <c r="E5">
        <v>1</v>
      </c>
      <c r="F5">
        <v>0.5</v>
      </c>
      <c r="G5" t="s">
        <v>32</v>
      </c>
      <c r="H5" t="s">
        <v>44</v>
      </c>
    </row>
    <row r="6" spans="1:8" ht="58" x14ac:dyDescent="0.35">
      <c r="A6" t="s">
        <v>222</v>
      </c>
      <c r="B6" t="s">
        <v>212</v>
      </c>
      <c r="C6" s="5" t="s">
        <v>223</v>
      </c>
      <c r="D6" s="5" t="s">
        <v>224</v>
      </c>
      <c r="E6">
        <v>1</v>
      </c>
      <c r="F6">
        <v>2</v>
      </c>
      <c r="G6" t="s">
        <v>32</v>
      </c>
      <c r="H6" t="s">
        <v>44</v>
      </c>
    </row>
    <row r="7" spans="1:8" ht="43.5" x14ac:dyDescent="0.35">
      <c r="A7" t="s">
        <v>225</v>
      </c>
      <c r="B7" t="s">
        <v>226</v>
      </c>
      <c r="C7" s="5" t="s">
        <v>227</v>
      </c>
      <c r="D7" s="5" t="s">
        <v>228</v>
      </c>
      <c r="E7">
        <v>1</v>
      </c>
      <c r="F7">
        <v>2</v>
      </c>
      <c r="G7" t="s">
        <v>32</v>
      </c>
      <c r="H7" t="s">
        <v>44</v>
      </c>
    </row>
    <row r="8" spans="1:8" ht="58" x14ac:dyDescent="0.35">
      <c r="A8" t="s">
        <v>72</v>
      </c>
      <c r="B8" t="s">
        <v>212</v>
      </c>
      <c r="C8" s="5" t="s">
        <v>246</v>
      </c>
      <c r="D8" s="5" t="s">
        <v>247</v>
      </c>
      <c r="E8">
        <v>1</v>
      </c>
      <c r="F8">
        <v>3</v>
      </c>
      <c r="G8" t="s">
        <v>32</v>
      </c>
      <c r="H8" t="s">
        <v>44</v>
      </c>
    </row>
    <row r="9" spans="1:8" ht="29" x14ac:dyDescent="0.35">
      <c r="A9" t="s">
        <v>157</v>
      </c>
      <c r="B9" t="s">
        <v>212</v>
      </c>
      <c r="C9" s="5" t="s">
        <v>248</v>
      </c>
      <c r="D9" s="5" t="s">
        <v>249</v>
      </c>
      <c r="E9">
        <v>1</v>
      </c>
      <c r="F9">
        <v>3</v>
      </c>
      <c r="G9" t="s">
        <v>32</v>
      </c>
      <c r="H9" t="s">
        <v>44</v>
      </c>
    </row>
    <row r="10" spans="1:8" ht="29" x14ac:dyDescent="0.35">
      <c r="A10" t="s">
        <v>237</v>
      </c>
      <c r="B10" t="s">
        <v>216</v>
      </c>
      <c r="C10" s="5" t="s">
        <v>238</v>
      </c>
      <c r="D10" s="5" t="s">
        <v>239</v>
      </c>
      <c r="E10">
        <v>2</v>
      </c>
      <c r="F10">
        <v>1</v>
      </c>
      <c r="G10" t="s">
        <v>32</v>
      </c>
      <c r="H10" t="s">
        <v>44</v>
      </c>
    </row>
    <row r="11" spans="1:8" ht="29" x14ac:dyDescent="0.35">
      <c r="A11" t="s">
        <v>169</v>
      </c>
      <c r="B11" t="s">
        <v>212</v>
      </c>
      <c r="C11" s="5" t="s">
        <v>250</v>
      </c>
      <c r="D11" s="5" t="s">
        <v>251</v>
      </c>
      <c r="E11">
        <v>2</v>
      </c>
      <c r="F11">
        <v>5</v>
      </c>
      <c r="G11" t="s">
        <v>32</v>
      </c>
      <c r="H11" t="s">
        <v>44</v>
      </c>
    </row>
    <row r="12" spans="1:8" ht="43.5" x14ac:dyDescent="0.35">
      <c r="A12" t="s">
        <v>173</v>
      </c>
      <c r="B12" t="s">
        <v>212</v>
      </c>
      <c r="C12" s="5" t="s">
        <v>252</v>
      </c>
      <c r="D12" s="5" t="s">
        <v>253</v>
      </c>
      <c r="E12">
        <v>2</v>
      </c>
      <c r="F12">
        <v>4</v>
      </c>
      <c r="G12" t="s">
        <v>32</v>
      </c>
      <c r="H12" t="s">
        <v>44</v>
      </c>
    </row>
    <row r="13" spans="1:8" ht="58" x14ac:dyDescent="0.35">
      <c r="A13" t="s">
        <v>186</v>
      </c>
      <c r="B13" t="s">
        <v>212</v>
      </c>
      <c r="C13" s="5" t="s">
        <v>254</v>
      </c>
      <c r="D13" s="5" t="s">
        <v>255</v>
      </c>
      <c r="E13">
        <v>2</v>
      </c>
      <c r="F13">
        <v>4</v>
      </c>
      <c r="G13" t="s">
        <v>32</v>
      </c>
      <c r="H13" t="s">
        <v>44</v>
      </c>
    </row>
    <row r="14" spans="1:8" ht="58" x14ac:dyDescent="0.35">
      <c r="A14" t="s">
        <v>259</v>
      </c>
      <c r="B14" t="s">
        <v>216</v>
      </c>
      <c r="C14" s="5" t="s">
        <v>260</v>
      </c>
      <c r="D14" s="5" t="s">
        <v>261</v>
      </c>
      <c r="E14">
        <v>2</v>
      </c>
      <c r="F14">
        <v>2</v>
      </c>
      <c r="G14" t="s">
        <v>32</v>
      </c>
      <c r="H14" t="s">
        <v>44</v>
      </c>
    </row>
    <row r="15" spans="1:8" ht="43.5" x14ac:dyDescent="0.35">
      <c r="A15" t="s">
        <v>262</v>
      </c>
      <c r="B15" t="s">
        <v>226</v>
      </c>
      <c r="C15" s="5" t="s">
        <v>263</v>
      </c>
      <c r="D15" s="5" t="s">
        <v>264</v>
      </c>
      <c r="E15">
        <v>2</v>
      </c>
      <c r="F15">
        <v>3</v>
      </c>
      <c r="G15" t="s">
        <v>32</v>
      </c>
      <c r="H15" t="s">
        <v>44</v>
      </c>
    </row>
    <row r="16" spans="1:8" ht="58" x14ac:dyDescent="0.35">
      <c r="A16" t="s">
        <v>119</v>
      </c>
      <c r="B16" t="s">
        <v>226</v>
      </c>
      <c r="C16" s="5" t="s">
        <v>265</v>
      </c>
      <c r="D16" s="5" t="s">
        <v>266</v>
      </c>
      <c r="E16">
        <v>2</v>
      </c>
      <c r="F16">
        <v>2</v>
      </c>
      <c r="G16" t="s">
        <v>32</v>
      </c>
      <c r="H16" t="s">
        <v>44</v>
      </c>
    </row>
    <row r="17" spans="1:8" ht="43.5" x14ac:dyDescent="0.35">
      <c r="A17" t="s">
        <v>267</v>
      </c>
      <c r="B17" t="s">
        <v>226</v>
      </c>
      <c r="C17" s="5" t="s">
        <v>268</v>
      </c>
      <c r="D17" s="5" t="s">
        <v>269</v>
      </c>
      <c r="E17">
        <v>2</v>
      </c>
      <c r="F17">
        <v>2</v>
      </c>
      <c r="G17" t="s">
        <v>32</v>
      </c>
      <c r="H17" t="s">
        <v>44</v>
      </c>
    </row>
    <row r="18" spans="1:8" ht="58" x14ac:dyDescent="0.35">
      <c r="A18" t="s">
        <v>270</v>
      </c>
      <c r="B18" t="s">
        <v>216</v>
      </c>
      <c r="C18" s="5" t="s">
        <v>271</v>
      </c>
      <c r="D18" s="5" t="s">
        <v>272</v>
      </c>
      <c r="E18">
        <v>2</v>
      </c>
      <c r="F18">
        <v>1</v>
      </c>
      <c r="G18" t="s">
        <v>32</v>
      </c>
      <c r="H18" t="s">
        <v>44</v>
      </c>
    </row>
    <row r="19" spans="1:8" ht="29" x14ac:dyDescent="0.35">
      <c r="A19" t="s">
        <v>275</v>
      </c>
      <c r="B19" t="s">
        <v>226</v>
      </c>
      <c r="C19" s="5" t="s">
        <v>276</v>
      </c>
      <c r="D19" s="5" t="s">
        <v>277</v>
      </c>
      <c r="E19">
        <v>2</v>
      </c>
      <c r="F19">
        <v>3</v>
      </c>
      <c r="G19" t="s">
        <v>32</v>
      </c>
      <c r="H19" t="s">
        <v>44</v>
      </c>
    </row>
    <row r="20" spans="1:8" ht="29" x14ac:dyDescent="0.35">
      <c r="A20" t="s">
        <v>100</v>
      </c>
      <c r="B20" t="s">
        <v>212</v>
      </c>
      <c r="C20" s="5" t="s">
        <v>280</v>
      </c>
      <c r="D20" s="5" t="s">
        <v>281</v>
      </c>
      <c r="E20">
        <v>2</v>
      </c>
      <c r="F20">
        <v>1</v>
      </c>
      <c r="G20" t="s">
        <v>32</v>
      </c>
      <c r="H20" t="s">
        <v>44</v>
      </c>
    </row>
    <row r="21" spans="1:8" ht="43.5" x14ac:dyDescent="0.35">
      <c r="A21" t="s">
        <v>134</v>
      </c>
      <c r="B21" t="s">
        <v>226</v>
      </c>
      <c r="C21" s="5" t="s">
        <v>282</v>
      </c>
      <c r="D21" s="5" t="s">
        <v>283</v>
      </c>
      <c r="E21">
        <v>2</v>
      </c>
      <c r="F21">
        <v>3</v>
      </c>
      <c r="G21" t="s">
        <v>32</v>
      </c>
      <c r="H21" t="s">
        <v>44</v>
      </c>
    </row>
    <row r="22" spans="1:8" ht="43.5" x14ac:dyDescent="0.35">
      <c r="A22" t="s">
        <v>146</v>
      </c>
      <c r="B22" t="s">
        <v>226</v>
      </c>
      <c r="C22" s="5" t="s">
        <v>284</v>
      </c>
      <c r="D22" s="5" t="s">
        <v>285</v>
      </c>
      <c r="E22">
        <v>2</v>
      </c>
      <c r="F22">
        <v>4</v>
      </c>
      <c r="G22" t="s">
        <v>32</v>
      </c>
      <c r="H22" t="s">
        <v>44</v>
      </c>
    </row>
    <row r="23" spans="1:8" ht="29" x14ac:dyDescent="0.35">
      <c r="A23" t="s">
        <v>234</v>
      </c>
      <c r="B23" t="s">
        <v>226</v>
      </c>
      <c r="C23" s="5" t="s">
        <v>235</v>
      </c>
      <c r="D23" s="5" t="s">
        <v>236</v>
      </c>
      <c r="E23">
        <v>3</v>
      </c>
      <c r="F23">
        <v>2</v>
      </c>
      <c r="G23" t="s">
        <v>32</v>
      </c>
      <c r="H23" t="s">
        <v>44</v>
      </c>
    </row>
    <row r="24" spans="1:8" ht="58" x14ac:dyDescent="0.35">
      <c r="A24" t="s">
        <v>243</v>
      </c>
      <c r="B24" t="s">
        <v>226</v>
      </c>
      <c r="C24" s="5" t="s">
        <v>244</v>
      </c>
      <c r="D24" s="5" t="s">
        <v>245</v>
      </c>
      <c r="E24">
        <v>3</v>
      </c>
      <c r="F24">
        <v>2</v>
      </c>
      <c r="G24" t="s">
        <v>32</v>
      </c>
      <c r="H24" t="s">
        <v>44</v>
      </c>
    </row>
    <row r="25" spans="1:8" ht="58" x14ac:dyDescent="0.35">
      <c r="A25" t="s">
        <v>256</v>
      </c>
      <c r="B25" t="s">
        <v>212</v>
      </c>
      <c r="C25" s="5" t="s">
        <v>257</v>
      </c>
      <c r="D25" s="5" t="s">
        <v>258</v>
      </c>
      <c r="E25">
        <v>3</v>
      </c>
      <c r="F25">
        <v>2</v>
      </c>
      <c r="G25" t="s">
        <v>32</v>
      </c>
      <c r="H25" t="s">
        <v>44</v>
      </c>
    </row>
    <row r="26" spans="1:8" ht="29" x14ac:dyDescent="0.35">
      <c r="A26" t="s">
        <v>183</v>
      </c>
      <c r="B26" t="s">
        <v>226</v>
      </c>
      <c r="C26" s="5" t="s">
        <v>288</v>
      </c>
      <c r="D26" s="5" t="s">
        <v>289</v>
      </c>
      <c r="E26">
        <v>3</v>
      </c>
      <c r="F26">
        <v>2</v>
      </c>
      <c r="G26" t="s">
        <v>32</v>
      </c>
      <c r="H26" t="s">
        <v>44</v>
      </c>
    </row>
    <row r="27" spans="1:8" ht="43.5" x14ac:dyDescent="0.35">
      <c r="A27" t="s">
        <v>115</v>
      </c>
      <c r="B27" t="s">
        <v>226</v>
      </c>
      <c r="C27" s="5" t="s">
        <v>292</v>
      </c>
      <c r="D27" s="5" t="s">
        <v>293</v>
      </c>
      <c r="E27">
        <v>3</v>
      </c>
      <c r="F27">
        <v>4</v>
      </c>
      <c r="G27" t="s">
        <v>32</v>
      </c>
      <c r="H27" t="s">
        <v>44</v>
      </c>
    </row>
    <row r="28" spans="1:8" ht="29" x14ac:dyDescent="0.35">
      <c r="A28" t="s">
        <v>294</v>
      </c>
      <c r="B28" t="s">
        <v>216</v>
      </c>
      <c r="C28" s="5" t="s">
        <v>295</v>
      </c>
      <c r="D28" s="5" t="s">
        <v>296</v>
      </c>
      <c r="E28">
        <v>3</v>
      </c>
      <c r="F28">
        <v>2</v>
      </c>
      <c r="G28" t="s">
        <v>32</v>
      </c>
      <c r="H28" t="s">
        <v>44</v>
      </c>
    </row>
    <row r="29" spans="1:8" ht="29" x14ac:dyDescent="0.35">
      <c r="A29" t="s">
        <v>297</v>
      </c>
      <c r="B29" t="s">
        <v>226</v>
      </c>
      <c r="C29" s="5" t="s">
        <v>298</v>
      </c>
      <c r="D29" s="5" t="s">
        <v>299</v>
      </c>
      <c r="E29">
        <v>3</v>
      </c>
      <c r="F29">
        <v>2</v>
      </c>
      <c r="G29" t="s">
        <v>32</v>
      </c>
      <c r="H29" t="s">
        <v>44</v>
      </c>
    </row>
    <row r="30" spans="1:8" ht="43.5" x14ac:dyDescent="0.35">
      <c r="A30" t="s">
        <v>176</v>
      </c>
      <c r="B30" t="s">
        <v>212</v>
      </c>
      <c r="C30" s="5" t="s">
        <v>300</v>
      </c>
      <c r="D30" s="5" t="s">
        <v>301</v>
      </c>
      <c r="E30">
        <v>3</v>
      </c>
      <c r="F30">
        <v>4</v>
      </c>
      <c r="G30" t="s">
        <v>32</v>
      </c>
      <c r="H30" t="s">
        <v>44</v>
      </c>
    </row>
    <row r="31" spans="1:8" ht="29" x14ac:dyDescent="0.35">
      <c r="A31" t="s">
        <v>103</v>
      </c>
      <c r="B31" t="s">
        <v>226</v>
      </c>
      <c r="C31" s="5" t="s">
        <v>302</v>
      </c>
      <c r="D31" s="5" t="s">
        <v>303</v>
      </c>
      <c r="E31">
        <v>3</v>
      </c>
      <c r="F31">
        <v>2</v>
      </c>
      <c r="G31" t="s">
        <v>32</v>
      </c>
      <c r="H31" t="s">
        <v>44</v>
      </c>
    </row>
    <row r="32" spans="1:8" ht="29" x14ac:dyDescent="0.35">
      <c r="A32" t="s">
        <v>161</v>
      </c>
      <c r="B32" t="s">
        <v>212</v>
      </c>
      <c r="C32" s="5" t="s">
        <v>304</v>
      </c>
      <c r="D32" s="5" t="s">
        <v>305</v>
      </c>
      <c r="E32">
        <v>3</v>
      </c>
      <c r="F32">
        <v>2</v>
      </c>
      <c r="G32" t="s">
        <v>32</v>
      </c>
      <c r="H32" t="s">
        <v>44</v>
      </c>
    </row>
    <row r="33" spans="1:8" ht="29" x14ac:dyDescent="0.35">
      <c r="A33" t="s">
        <v>138</v>
      </c>
      <c r="B33" t="s">
        <v>226</v>
      </c>
      <c r="C33" s="5" t="s">
        <v>308</v>
      </c>
      <c r="D33" s="5" t="s">
        <v>309</v>
      </c>
      <c r="E33">
        <v>3</v>
      </c>
      <c r="F33">
        <v>4</v>
      </c>
      <c r="G33" t="s">
        <v>32</v>
      </c>
      <c r="H33" t="s">
        <v>44</v>
      </c>
    </row>
    <row r="34" spans="1:8" ht="43.5" x14ac:dyDescent="0.35">
      <c r="A34" t="s">
        <v>324</v>
      </c>
      <c r="B34" t="s">
        <v>216</v>
      </c>
      <c r="C34" s="5" t="s">
        <v>325</v>
      </c>
      <c r="D34" s="5" t="s">
        <v>326</v>
      </c>
      <c r="E34">
        <v>3</v>
      </c>
      <c r="F34">
        <v>1</v>
      </c>
      <c r="G34" t="s">
        <v>32</v>
      </c>
      <c r="H34" t="s">
        <v>44</v>
      </c>
    </row>
    <row r="35" spans="1:8" ht="29" x14ac:dyDescent="0.35">
      <c r="A35" t="s">
        <v>49</v>
      </c>
      <c r="B35" t="s">
        <v>212</v>
      </c>
      <c r="C35" s="5" t="s">
        <v>229</v>
      </c>
      <c r="D35" s="5" t="s">
        <v>230</v>
      </c>
      <c r="E35">
        <v>4</v>
      </c>
      <c r="F35">
        <v>3</v>
      </c>
      <c r="G35" t="s">
        <v>32</v>
      </c>
      <c r="H35" t="s">
        <v>44</v>
      </c>
    </row>
    <row r="36" spans="1:8" ht="29" x14ac:dyDescent="0.35">
      <c r="A36" t="s">
        <v>231</v>
      </c>
      <c r="B36" t="s">
        <v>216</v>
      </c>
      <c r="C36" s="5" t="s">
        <v>232</v>
      </c>
      <c r="D36" s="5" t="s">
        <v>233</v>
      </c>
      <c r="E36">
        <v>4</v>
      </c>
      <c r="F36">
        <v>1</v>
      </c>
      <c r="G36" t="s">
        <v>32</v>
      </c>
      <c r="H36" t="s">
        <v>44</v>
      </c>
    </row>
    <row r="37" spans="1:8" ht="43.5" x14ac:dyDescent="0.35">
      <c r="A37" t="s">
        <v>240</v>
      </c>
      <c r="B37" t="s">
        <v>226</v>
      </c>
      <c r="C37" s="5" t="s">
        <v>241</v>
      </c>
      <c r="D37" s="5" t="s">
        <v>242</v>
      </c>
      <c r="E37">
        <v>4</v>
      </c>
      <c r="F37">
        <v>2</v>
      </c>
      <c r="G37" t="s">
        <v>32</v>
      </c>
      <c r="H37" t="s">
        <v>44</v>
      </c>
    </row>
    <row r="38" spans="1:8" ht="29" x14ac:dyDescent="0.35">
      <c r="A38" t="s">
        <v>54</v>
      </c>
      <c r="B38" t="s">
        <v>226</v>
      </c>
      <c r="C38" s="5" t="s">
        <v>286</v>
      </c>
      <c r="D38" s="5" t="s">
        <v>287</v>
      </c>
      <c r="E38">
        <v>4</v>
      </c>
      <c r="F38">
        <v>4</v>
      </c>
      <c r="G38" t="s">
        <v>32</v>
      </c>
      <c r="H38" t="s">
        <v>44</v>
      </c>
    </row>
    <row r="39" spans="1:8" ht="29" x14ac:dyDescent="0.35">
      <c r="A39" t="s">
        <v>112</v>
      </c>
      <c r="B39" t="s">
        <v>226</v>
      </c>
      <c r="C39" s="5" t="s">
        <v>290</v>
      </c>
      <c r="D39" s="5" t="s">
        <v>291</v>
      </c>
      <c r="E39">
        <v>4</v>
      </c>
      <c r="F39">
        <v>2</v>
      </c>
      <c r="G39" t="s">
        <v>32</v>
      </c>
      <c r="H39" t="s">
        <v>44</v>
      </c>
    </row>
    <row r="40" spans="1:8" ht="29" x14ac:dyDescent="0.35">
      <c r="A40" t="s">
        <v>165</v>
      </c>
      <c r="B40" t="s">
        <v>212</v>
      </c>
      <c r="C40" s="5" t="s">
        <v>306</v>
      </c>
      <c r="D40" s="5" t="s">
        <v>307</v>
      </c>
      <c r="E40">
        <v>4</v>
      </c>
      <c r="F40">
        <v>1</v>
      </c>
      <c r="G40" t="s">
        <v>32</v>
      </c>
      <c r="H40" t="s">
        <v>44</v>
      </c>
    </row>
    <row r="41" spans="1:8" ht="43.5" x14ac:dyDescent="0.35">
      <c r="A41" t="s">
        <v>61</v>
      </c>
      <c r="B41" t="s">
        <v>226</v>
      </c>
      <c r="C41" s="5" t="s">
        <v>310</v>
      </c>
      <c r="D41" s="5" t="s">
        <v>311</v>
      </c>
      <c r="E41">
        <v>4</v>
      </c>
      <c r="F41">
        <v>2</v>
      </c>
      <c r="G41" t="s">
        <v>32</v>
      </c>
      <c r="H41" t="s">
        <v>44</v>
      </c>
    </row>
    <row r="42" spans="1:8" ht="29" x14ac:dyDescent="0.35">
      <c r="A42" t="s">
        <v>108</v>
      </c>
      <c r="B42" t="s">
        <v>226</v>
      </c>
      <c r="C42" s="5" t="s">
        <v>312</v>
      </c>
      <c r="D42" s="5" t="s">
        <v>313</v>
      </c>
      <c r="E42">
        <v>4</v>
      </c>
      <c r="F42">
        <v>3</v>
      </c>
      <c r="G42" t="s">
        <v>32</v>
      </c>
      <c r="H42" t="s">
        <v>44</v>
      </c>
    </row>
    <row r="43" spans="1:8" ht="29" x14ac:dyDescent="0.35">
      <c r="A43" t="s">
        <v>58</v>
      </c>
      <c r="B43" t="s">
        <v>226</v>
      </c>
      <c r="C43" s="5" t="s">
        <v>314</v>
      </c>
      <c r="D43" s="5" t="s">
        <v>315</v>
      </c>
      <c r="E43">
        <v>4</v>
      </c>
      <c r="F43">
        <v>4</v>
      </c>
      <c r="G43" t="s">
        <v>32</v>
      </c>
      <c r="H43" t="s">
        <v>44</v>
      </c>
    </row>
    <row r="44" spans="1:8" ht="29" x14ac:dyDescent="0.35">
      <c r="A44" t="s">
        <v>127</v>
      </c>
      <c r="B44" t="s">
        <v>226</v>
      </c>
      <c r="C44" s="5" t="s">
        <v>318</v>
      </c>
      <c r="D44" s="5" t="s">
        <v>319</v>
      </c>
      <c r="E44">
        <v>4</v>
      </c>
      <c r="F44">
        <v>3</v>
      </c>
      <c r="G44" t="s">
        <v>32</v>
      </c>
      <c r="H44" t="s">
        <v>44</v>
      </c>
    </row>
    <row r="45" spans="1:8" ht="29" x14ac:dyDescent="0.35">
      <c r="A45" t="s">
        <v>190</v>
      </c>
      <c r="B45" t="s">
        <v>226</v>
      </c>
      <c r="C45" s="5" t="s">
        <v>320</v>
      </c>
      <c r="D45" s="5" t="s">
        <v>321</v>
      </c>
      <c r="E45">
        <v>4</v>
      </c>
      <c r="F45">
        <v>3</v>
      </c>
      <c r="G45" t="s">
        <v>32</v>
      </c>
      <c r="H45" t="s">
        <v>44</v>
      </c>
    </row>
    <row r="46" spans="1:8" ht="43.5" x14ac:dyDescent="0.35">
      <c r="A46" t="s">
        <v>327</v>
      </c>
      <c r="B46" t="s">
        <v>226</v>
      </c>
      <c r="C46" s="5" t="s">
        <v>328</v>
      </c>
      <c r="D46" s="5" t="s">
        <v>329</v>
      </c>
      <c r="E46">
        <v>5</v>
      </c>
      <c r="F46">
        <v>10</v>
      </c>
      <c r="G46" t="s">
        <v>32</v>
      </c>
      <c r="H46" t="s">
        <v>44</v>
      </c>
    </row>
    <row r="47" spans="1:8" ht="43.5" x14ac:dyDescent="0.35">
      <c r="A47" t="s">
        <v>180</v>
      </c>
      <c r="B47" t="s">
        <v>212</v>
      </c>
      <c r="C47" s="5" t="s">
        <v>316</v>
      </c>
      <c r="D47" s="5" t="s">
        <v>317</v>
      </c>
      <c r="E47">
        <v>6</v>
      </c>
      <c r="F47">
        <v>3</v>
      </c>
      <c r="G47" t="s">
        <v>32</v>
      </c>
      <c r="H47" t="s">
        <v>44</v>
      </c>
    </row>
    <row r="48" spans="1:8" x14ac:dyDescent="0.35">
      <c r="A48" t="s">
        <v>195</v>
      </c>
      <c r="B48" t="s">
        <v>226</v>
      </c>
      <c r="C48" s="5" t="s">
        <v>322</v>
      </c>
      <c r="D48" s="5" t="s">
        <v>323</v>
      </c>
      <c r="E48">
        <v>6</v>
      </c>
      <c r="F48">
        <v>2</v>
      </c>
      <c r="G48" t="s">
        <v>32</v>
      </c>
      <c r="H48" t="s">
        <v>44</v>
      </c>
    </row>
    <row r="49" spans="1:8" ht="29" x14ac:dyDescent="0.35">
      <c r="A49" t="s">
        <v>330</v>
      </c>
      <c r="B49" t="s">
        <v>226</v>
      </c>
      <c r="C49" s="5" t="s">
        <v>331</v>
      </c>
      <c r="D49" s="5" t="s">
        <v>332</v>
      </c>
      <c r="E49">
        <v>6</v>
      </c>
      <c r="F49">
        <v>4</v>
      </c>
      <c r="G49" t="s">
        <v>32</v>
      </c>
      <c r="H49" t="s">
        <v>44</v>
      </c>
    </row>
    <row r="50" spans="1:8" ht="43.5" x14ac:dyDescent="0.35">
      <c r="A50" t="s">
        <v>91</v>
      </c>
      <c r="B50" t="s">
        <v>226</v>
      </c>
      <c r="C50" s="5" t="s">
        <v>273</v>
      </c>
      <c r="D50" s="5" t="s">
        <v>274</v>
      </c>
      <c r="E50">
        <v>7</v>
      </c>
      <c r="F50">
        <v>5</v>
      </c>
      <c r="G50" t="s">
        <v>32</v>
      </c>
      <c r="H50" t="s">
        <v>44</v>
      </c>
    </row>
    <row r="51" spans="1:8" ht="29" x14ac:dyDescent="0.35">
      <c r="A51" t="s">
        <v>95</v>
      </c>
      <c r="B51" t="s">
        <v>226</v>
      </c>
      <c r="C51" s="5" t="s">
        <v>278</v>
      </c>
      <c r="D51" s="5" t="s">
        <v>279</v>
      </c>
      <c r="E51">
        <v>7</v>
      </c>
      <c r="F51">
        <v>5</v>
      </c>
      <c r="G51" t="s">
        <v>32</v>
      </c>
      <c r="H51" t="s">
        <v>44</v>
      </c>
    </row>
    <row r="52" spans="1:8" ht="29" x14ac:dyDescent="0.35">
      <c r="A52" t="s">
        <v>333</v>
      </c>
      <c r="B52" t="s">
        <v>334</v>
      </c>
      <c r="C52" s="5" t="s">
        <v>335</v>
      </c>
      <c r="D52" s="5" t="s">
        <v>336</v>
      </c>
      <c r="E52">
        <v>7</v>
      </c>
      <c r="F52">
        <v>1</v>
      </c>
      <c r="G52" t="s">
        <v>32</v>
      </c>
      <c r="H52" t="s">
        <v>44</v>
      </c>
    </row>
    <row r="53" spans="1:8" x14ac:dyDescent="0.35">
      <c r="A53" t="s">
        <v>337</v>
      </c>
      <c r="B53" t="s">
        <v>334</v>
      </c>
      <c r="C53" s="5" t="s">
        <v>338</v>
      </c>
      <c r="D53" s="5" t="s">
        <v>339</v>
      </c>
      <c r="E53">
        <v>7</v>
      </c>
      <c r="F53">
        <v>2</v>
      </c>
      <c r="G53" t="s">
        <v>32</v>
      </c>
      <c r="H53" t="s">
        <v>44</v>
      </c>
    </row>
    <row r="54" spans="1:8" ht="43.5" x14ac:dyDescent="0.35">
      <c r="A54" t="s">
        <v>340</v>
      </c>
      <c r="B54" t="s">
        <v>208</v>
      </c>
      <c r="C54" s="5" t="s">
        <v>341</v>
      </c>
      <c r="D54" s="5" t="s">
        <v>342</v>
      </c>
      <c r="E54">
        <v>8</v>
      </c>
      <c r="F54">
        <v>6</v>
      </c>
      <c r="G54" t="s">
        <v>32</v>
      </c>
      <c r="H54" t="s">
        <v>44</v>
      </c>
    </row>
  </sheetData>
  <sortState xmlns:xlrd2="http://schemas.microsoft.com/office/spreadsheetml/2017/richdata2" ref="A2:H54">
    <sortCondition ref="E2:E54"/>
  </sortState>
  <dataValidations count="1">
    <dataValidation type="list" allowBlank="1" sqref="H2:H54" xr:uid="{00000000-0002-0000-0200-000002000000}">
      <formula1>"Chưa làm,Đang làm,Xong,Block,Bỏ qua"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TV!#REF!</xm:f>
          </x14:formula1>
          <xm:sqref>G2:G54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workbookViewId="0"/>
  </sheetViews>
  <sheetFormatPr defaultRowHeight="14.5" x14ac:dyDescent="0.35"/>
  <cols>
    <col min="1" max="1" width="12" customWidth="1"/>
    <col min="2" max="2" width="40" customWidth="1"/>
    <col min="3" max="3" width="18" customWidth="1"/>
    <col min="4" max="11" width="6" customWidth="1"/>
  </cols>
  <sheetData>
    <row r="1" spans="1:12" s="3" customFormat="1" x14ac:dyDescent="0.35">
      <c r="A1" s="3" t="s">
        <v>343</v>
      </c>
      <c r="B1" s="3" t="s">
        <v>344</v>
      </c>
      <c r="C1" s="3" t="s">
        <v>345</v>
      </c>
      <c r="D1" s="3" t="s">
        <v>346</v>
      </c>
      <c r="E1" s="3" t="s">
        <v>347</v>
      </c>
      <c r="F1" s="3" t="s">
        <v>348</v>
      </c>
      <c r="G1" s="3" t="s">
        <v>349</v>
      </c>
      <c r="H1" s="3" t="s">
        <v>350</v>
      </c>
      <c r="I1" s="3" t="s">
        <v>351</v>
      </c>
      <c r="J1" s="3" t="s">
        <v>352</v>
      </c>
      <c r="K1" s="3" t="s">
        <v>353</v>
      </c>
    </row>
    <row r="2" spans="1:12" x14ac:dyDescent="0.35">
      <c r="A2" t="s">
        <v>354</v>
      </c>
      <c r="B2" t="s">
        <v>32</v>
      </c>
      <c r="C2">
        <f>SUM(D2:K2)</f>
        <v>0</v>
      </c>
      <c r="D2">
        <f>SUMIFS('2. WBS'!$F:$F,'2. WBS'!$G:$G,$A2,'2. WBS'!$E:$E,1)</f>
        <v>0</v>
      </c>
      <c r="E2">
        <f>SUMIFS('2. WBS'!$F:$F,'2. WBS'!$G:$G,$A2,'2. WBS'!$E:$E,2)</f>
        <v>0</v>
      </c>
      <c r="F2">
        <f>SUMIFS('2. WBS'!$F:$F,'2. WBS'!$G:$G,$A2,'2. WBS'!$E:$E,3)</f>
        <v>0</v>
      </c>
      <c r="G2">
        <f>SUMIFS('2. WBS'!$F:$F,'2. WBS'!$G:$G,$A2,'2. WBS'!$E:$E,4)</f>
        <v>0</v>
      </c>
      <c r="H2">
        <f>SUMIFS('2. WBS'!$F:$F,'2. WBS'!$G:$G,$A2,'2. WBS'!$E:$E,5)</f>
        <v>0</v>
      </c>
      <c r="I2">
        <f>SUMIFS('2. WBS'!$F:$F,'2. WBS'!$G:$G,$A2,'2. WBS'!$E:$E,6)</f>
        <v>0</v>
      </c>
      <c r="J2">
        <f>SUMIFS('2. WBS'!$F:$F,'2. WBS'!$G:$G,$A2,'2. WBS'!$E:$E,7)</f>
        <v>0</v>
      </c>
      <c r="K2">
        <f>SUMIFS('2. WBS'!$F:$F,'2. WBS'!$G:$G,$A2,'2. WBS'!$E:$E,8)</f>
        <v>0</v>
      </c>
    </row>
    <row r="3" spans="1:12" x14ac:dyDescent="0.35">
      <c r="A3" t="s">
        <v>355</v>
      </c>
      <c r="B3" t="s">
        <v>32</v>
      </c>
      <c r="C3">
        <f>SUM(D3:K3)</f>
        <v>0</v>
      </c>
      <c r="D3">
        <f>SUMIFS('2. WBS'!$F:$F,'2. WBS'!$G:$G,$A3,'2. WBS'!$E:$E,1)</f>
        <v>0</v>
      </c>
      <c r="E3">
        <f>SUMIFS('2. WBS'!$F:$F,'2. WBS'!$G:$G,$A3,'2. WBS'!$E:$E,2)</f>
        <v>0</v>
      </c>
      <c r="F3">
        <f>SUMIFS('2. WBS'!$F:$F,'2. WBS'!$G:$G,$A3,'2. WBS'!$E:$E,3)</f>
        <v>0</v>
      </c>
      <c r="G3">
        <f>SUMIFS('2. WBS'!$F:$F,'2. WBS'!$G:$G,$A3,'2. WBS'!$E:$E,4)</f>
        <v>0</v>
      </c>
      <c r="H3">
        <f>SUMIFS('2. WBS'!$F:$F,'2. WBS'!$G:$G,$A3,'2. WBS'!$E:$E,5)</f>
        <v>0</v>
      </c>
      <c r="I3">
        <f>SUMIFS('2. WBS'!$F:$F,'2. WBS'!$G:$G,$A3,'2. WBS'!$E:$E,6)</f>
        <v>0</v>
      </c>
      <c r="J3">
        <f>SUMIFS('2. WBS'!$F:$F,'2. WBS'!$G:$G,$A3,'2. WBS'!$E:$E,7)</f>
        <v>0</v>
      </c>
      <c r="K3">
        <f>SUMIFS('2. WBS'!$F:$F,'2. WBS'!$G:$G,$A3,'2. WBS'!$E:$E,8)</f>
        <v>0</v>
      </c>
    </row>
    <row r="4" spans="1:12" x14ac:dyDescent="0.35">
      <c r="A4" t="s">
        <v>356</v>
      </c>
      <c r="B4" t="s">
        <v>32</v>
      </c>
      <c r="C4">
        <f>SUM(D4:K4)</f>
        <v>0</v>
      </c>
      <c r="D4">
        <f>SUMIFS('2. WBS'!$F:$F,'2. WBS'!$G:$G,$A4,'2. WBS'!$E:$E,1)</f>
        <v>0</v>
      </c>
      <c r="E4">
        <f>SUMIFS('2. WBS'!$F:$F,'2. WBS'!$G:$G,$A4,'2. WBS'!$E:$E,2)</f>
        <v>0</v>
      </c>
      <c r="F4">
        <f>SUMIFS('2. WBS'!$F:$F,'2. WBS'!$G:$G,$A4,'2. WBS'!$E:$E,3)</f>
        <v>0</v>
      </c>
      <c r="G4">
        <f>SUMIFS('2. WBS'!$F:$F,'2. WBS'!$G:$G,$A4,'2. WBS'!$E:$E,4)</f>
        <v>0</v>
      </c>
      <c r="H4">
        <f>SUMIFS('2. WBS'!$F:$F,'2. WBS'!$G:$G,$A4,'2. WBS'!$E:$E,5)</f>
        <v>0</v>
      </c>
      <c r="I4">
        <f>SUMIFS('2. WBS'!$F:$F,'2. WBS'!$G:$G,$A4,'2. WBS'!$E:$E,6)</f>
        <v>0</v>
      </c>
      <c r="J4">
        <f>SUMIFS('2. WBS'!$F:$F,'2. WBS'!$G:$G,$A4,'2. WBS'!$E:$E,7)</f>
        <v>0</v>
      </c>
      <c r="K4">
        <f>SUMIFS('2. WBS'!$F:$F,'2. WBS'!$G:$G,$A4,'2. WBS'!$E:$E,8)</f>
        <v>0</v>
      </c>
    </row>
    <row r="5" spans="1:12" x14ac:dyDescent="0.35">
      <c r="A5" t="s">
        <v>357</v>
      </c>
      <c r="B5" t="s">
        <v>32</v>
      </c>
      <c r="C5">
        <f>SUM(D5:K5)</f>
        <v>0</v>
      </c>
      <c r="D5">
        <f>SUMIFS('2. WBS'!$F:$F,'2. WBS'!$G:$G,$A5,'2. WBS'!$E:$E,1)</f>
        <v>0</v>
      </c>
      <c r="E5">
        <f>SUMIFS('2. WBS'!$F:$F,'2. WBS'!$G:$G,$A5,'2. WBS'!$E:$E,2)</f>
        <v>0</v>
      </c>
      <c r="F5">
        <f>SUMIFS('2. WBS'!$F:$F,'2. WBS'!$G:$G,$A5,'2. WBS'!$E:$E,3)</f>
        <v>0</v>
      </c>
      <c r="G5">
        <f>SUMIFS('2. WBS'!$F:$F,'2. WBS'!$G:$G,$A5,'2. WBS'!$E:$E,4)</f>
        <v>0</v>
      </c>
      <c r="H5">
        <f>SUMIFS('2. WBS'!$F:$F,'2. WBS'!$G:$G,$A5,'2. WBS'!$E:$E,5)</f>
        <v>0</v>
      </c>
      <c r="I5">
        <f>SUMIFS('2. WBS'!$F:$F,'2. WBS'!$G:$G,$A5,'2. WBS'!$E:$E,6)</f>
        <v>0</v>
      </c>
      <c r="J5">
        <f>SUMIFS('2. WBS'!$F:$F,'2. WBS'!$G:$G,$A5,'2. WBS'!$E:$E,7)</f>
        <v>0</v>
      </c>
      <c r="K5">
        <f>SUMIFS('2. WBS'!$F:$F,'2. WBS'!$G:$G,$A5,'2. WBS'!$E:$E,8)</f>
        <v>0</v>
      </c>
    </row>
    <row r="7" spans="1:12" x14ac:dyDescent="0.35">
      <c r="A7" s="2" t="s">
        <v>358</v>
      </c>
      <c r="B7" t="s">
        <v>32</v>
      </c>
      <c r="C7">
        <f>SUM(C2:C5)</f>
        <v>0</v>
      </c>
    </row>
    <row r="8" spans="1:12" x14ac:dyDescent="0.35">
      <c r="A8" t="s">
        <v>359</v>
      </c>
      <c r="B8" t="s">
        <v>360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C3" sqref="C3"/>
    </sheetView>
  </sheetViews>
  <sheetFormatPr defaultRowHeight="14.5" x14ac:dyDescent="0.35"/>
  <cols>
    <col min="1" max="1" width="26" customWidth="1"/>
    <col min="2" max="2" width="8" customWidth="1"/>
    <col min="3" max="3" width="30" customWidth="1"/>
    <col min="4" max="4" width="70" customWidth="1"/>
  </cols>
  <sheetData>
    <row r="1" spans="1:4" s="3" customFormat="1" x14ac:dyDescent="0.35">
      <c r="A1" s="3" t="s">
        <v>361</v>
      </c>
      <c r="B1" s="3" t="s">
        <v>203</v>
      </c>
      <c r="C1" s="4" t="s">
        <v>362</v>
      </c>
      <c r="D1" s="4" t="s">
        <v>363</v>
      </c>
    </row>
    <row r="2" spans="1:4" x14ac:dyDescent="0.35">
      <c r="A2" t="s">
        <v>364</v>
      </c>
      <c r="B2" t="s">
        <v>207</v>
      </c>
      <c r="C2" s="5" t="s">
        <v>365</v>
      </c>
      <c r="D2" s="5" t="s">
        <v>366</v>
      </c>
    </row>
    <row r="3" spans="1:4" ht="29" x14ac:dyDescent="0.35">
      <c r="A3" t="s">
        <v>367</v>
      </c>
      <c r="B3" t="s">
        <v>368</v>
      </c>
      <c r="C3" s="5" t="s">
        <v>369</v>
      </c>
      <c r="D3" s="5" t="s">
        <v>370</v>
      </c>
    </row>
    <row r="4" spans="1:4" x14ac:dyDescent="0.35">
      <c r="A4" t="s">
        <v>371</v>
      </c>
      <c r="B4" t="s">
        <v>215</v>
      </c>
      <c r="C4" s="5" t="s">
        <v>372</v>
      </c>
      <c r="D4" s="5" t="s">
        <v>373</v>
      </c>
    </row>
    <row r="5" spans="1:4" x14ac:dyDescent="0.35">
      <c r="A5" t="s">
        <v>374</v>
      </c>
      <c r="B5" t="s">
        <v>219</v>
      </c>
      <c r="C5" s="5" t="s">
        <v>375</v>
      </c>
      <c r="D5" s="5" t="s">
        <v>376</v>
      </c>
    </row>
    <row r="6" spans="1:4" x14ac:dyDescent="0.35">
      <c r="A6" t="s">
        <v>377</v>
      </c>
      <c r="B6" t="s">
        <v>378</v>
      </c>
      <c r="C6" s="5" t="s">
        <v>379</v>
      </c>
      <c r="D6" s="5" t="s">
        <v>380</v>
      </c>
    </row>
    <row r="7" spans="1:4" x14ac:dyDescent="0.35">
      <c r="A7" t="s">
        <v>381</v>
      </c>
      <c r="B7" t="s">
        <v>382</v>
      </c>
      <c r="C7" s="5" t="s">
        <v>383</v>
      </c>
      <c r="D7" s="5" t="s">
        <v>384</v>
      </c>
    </row>
    <row r="9" spans="1:4" x14ac:dyDescent="0.35">
      <c r="A9" t="s">
        <v>385</v>
      </c>
      <c r="B9" t="s">
        <v>386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B2" sqref="B2"/>
    </sheetView>
  </sheetViews>
  <sheetFormatPr defaultRowHeight="14.5" x14ac:dyDescent="0.35"/>
  <cols>
    <col min="1" max="1" width="46" customWidth="1"/>
    <col min="2" max="2" width="30" customWidth="1"/>
    <col min="3" max="3" width="22" customWidth="1"/>
    <col min="4" max="4" width="62" customWidth="1"/>
  </cols>
  <sheetData>
    <row r="1" spans="1:4" s="3" customFormat="1" x14ac:dyDescent="0.35">
      <c r="A1" s="4" t="s">
        <v>387</v>
      </c>
      <c r="B1" s="3" t="s">
        <v>388</v>
      </c>
      <c r="C1" s="4" t="s">
        <v>389</v>
      </c>
      <c r="D1" s="4" t="s">
        <v>390</v>
      </c>
    </row>
    <row r="2" spans="1:4" ht="29" x14ac:dyDescent="0.35">
      <c r="A2" s="5" t="s">
        <v>391</v>
      </c>
      <c r="B2" t="s">
        <v>392</v>
      </c>
      <c r="C2" s="5" t="s">
        <v>393</v>
      </c>
      <c r="D2" s="5" t="s">
        <v>394</v>
      </c>
    </row>
    <row r="3" spans="1:4" x14ac:dyDescent="0.35">
      <c r="A3" s="5" t="s">
        <v>395</v>
      </c>
      <c r="B3" t="s">
        <v>396</v>
      </c>
      <c r="C3" s="5" t="s">
        <v>397</v>
      </c>
      <c r="D3" s="5" t="s">
        <v>398</v>
      </c>
    </row>
    <row r="4" spans="1:4" x14ac:dyDescent="0.35">
      <c r="A4" s="5" t="s">
        <v>399</v>
      </c>
      <c r="B4" t="s">
        <v>400</v>
      </c>
      <c r="C4" s="5" t="s">
        <v>401</v>
      </c>
      <c r="D4" s="5" t="s">
        <v>402</v>
      </c>
    </row>
    <row r="5" spans="1:4" x14ac:dyDescent="0.35">
      <c r="A5" s="5" t="s">
        <v>403</v>
      </c>
      <c r="B5" t="s">
        <v>404</v>
      </c>
      <c r="C5" s="5" t="s">
        <v>405</v>
      </c>
      <c r="D5" s="5" t="s">
        <v>32</v>
      </c>
    </row>
    <row r="6" spans="1:4" x14ac:dyDescent="0.35">
      <c r="A6" s="5" t="s">
        <v>406</v>
      </c>
      <c r="B6" t="s">
        <v>407</v>
      </c>
      <c r="C6" s="5" t="s">
        <v>408</v>
      </c>
      <c r="D6" s="5" t="s">
        <v>409</v>
      </c>
    </row>
    <row r="7" spans="1:4" x14ac:dyDescent="0.35">
      <c r="A7" s="5" t="s">
        <v>410</v>
      </c>
      <c r="B7" t="s">
        <v>411</v>
      </c>
      <c r="C7" s="5" t="s">
        <v>412</v>
      </c>
      <c r="D7" s="5" t="s">
        <v>413</v>
      </c>
    </row>
    <row r="8" spans="1:4" x14ac:dyDescent="0.35">
      <c r="A8" s="5" t="s">
        <v>414</v>
      </c>
      <c r="B8" t="s">
        <v>411</v>
      </c>
      <c r="C8" s="5" t="s">
        <v>415</v>
      </c>
      <c r="D8" s="5" t="s">
        <v>416</v>
      </c>
    </row>
    <row r="9" spans="1:4" x14ac:dyDescent="0.35">
      <c r="A9" s="5" t="s">
        <v>417</v>
      </c>
      <c r="B9" t="s">
        <v>418</v>
      </c>
      <c r="C9" s="5" t="s">
        <v>419</v>
      </c>
      <c r="D9" s="5" t="s">
        <v>420</v>
      </c>
    </row>
    <row r="10" spans="1:4" ht="29" x14ac:dyDescent="0.35">
      <c r="A10" s="5" t="s">
        <v>421</v>
      </c>
      <c r="B10" t="s">
        <v>422</v>
      </c>
      <c r="C10" s="5" t="s">
        <v>423</v>
      </c>
      <c r="D10" s="5" t="s">
        <v>424</v>
      </c>
    </row>
    <row r="11" spans="1:4" x14ac:dyDescent="0.35">
      <c r="A11" s="2"/>
    </row>
    <row r="12" spans="1:4" x14ac:dyDescent="0.35">
      <c r="A12" s="7" t="s">
        <v>425</v>
      </c>
      <c r="B12" s="7"/>
      <c r="C12" s="7"/>
      <c r="D12" s="7"/>
    </row>
    <row r="13" spans="1:4" x14ac:dyDescent="0.35">
      <c r="A13" s="7" t="s">
        <v>426</v>
      </c>
      <c r="B13" s="7"/>
      <c r="C13" s="7"/>
      <c r="D13" s="7"/>
    </row>
    <row r="14" spans="1:4" x14ac:dyDescent="0.35">
      <c r="A14" s="7" t="s">
        <v>427</v>
      </c>
      <c r="B14" s="7"/>
      <c r="C14" s="7"/>
      <c r="D14" s="7"/>
    </row>
    <row r="15" spans="1:4" x14ac:dyDescent="0.35">
      <c r="A15" s="7" t="s">
        <v>428</v>
      </c>
      <c r="B15" s="7"/>
      <c r="C15" s="7"/>
      <c r="D15" s="7"/>
    </row>
    <row r="16" spans="1:4" ht="29" x14ac:dyDescent="0.35">
      <c r="A16" s="5" t="s">
        <v>429</v>
      </c>
      <c r="B16" t="s">
        <v>32</v>
      </c>
      <c r="C16" s="5" t="s">
        <v>32</v>
      </c>
      <c r="D16" s="5" t="s">
        <v>32</v>
      </c>
    </row>
  </sheetData>
  <mergeCells count="4">
    <mergeCell ref="A12:D12"/>
    <mergeCell ref="A13:D13"/>
    <mergeCell ref="A14:D14"/>
    <mergeCell ref="A15:D1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Đọc trước</vt:lpstr>
      <vt:lpstr>1. Phân công FR</vt:lpstr>
      <vt:lpstr>2. WBS</vt:lpstr>
      <vt:lpstr>3. TV</vt:lpstr>
      <vt:lpstr>4. Tiến trình &amp; Cổng</vt:lpstr>
      <vt:lpstr>5. Ai làm màn nào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2026-09-26T07:54:39Z</dcterms:created>
  <dcterms:modified xsi:type="dcterms:W3CDTF">2026-09-26T09:00:25Z</dcterms:modified>
  <cp:category/>
</cp:coreProperties>
</file>