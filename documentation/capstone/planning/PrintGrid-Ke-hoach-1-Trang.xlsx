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ÂN CÔNG — 1 TRANG" state="visible" r:id="rId4"/>
    <sheet sheetId="2" name="Tải 4 người" state="visible" r:id="rId5"/>
  </sheets>
  <calcPr calcId="171027"/>
</workbook>
</file>

<file path=xl/sharedStrings.xml><?xml version="1.0" encoding="utf-8"?>
<sst xmlns="http://schemas.openxmlformats.org/spreadsheetml/2006/main" count="581" uniqueCount="357">
  <si>
    <t>MỘT TRANG DUY NHẤT — xếp theo Tuần 1→8. CỔNG G-A (cuối T2): một đơn chạy hết chuỗi bằng cầu đánh dấu-đã-trả, không nhờ dữ liệu mẫu. CỔNG G-B (T8): bảng 16 chỉ số đạt + SEPay sandbox + 3 màn diễn tập. Quy tắc chọn việc: một thư mục FE — một tuần — một người; bắt tay qua hợp đồng API/event, không sửa file của nhau (xem bảng cuối sheet). SRS: documentation/project/requirements/ 09·12·13.</t>
  </si>
  <si>
    <t>STT</t>
  </si>
  <si>
    <t>Tuần</t>
  </si>
  <si>
    <t>Nhóm</t>
  </si>
  <si>
    <t>Chức năng / hạng mục</t>
  </si>
  <si>
    <t>Actor</t>
  </si>
  <si>
    <t>MÀN HÌNH FE</t>
  </si>
  <si>
    <t>Cụ thể — làm gì</t>
  </si>
  <si>
    <t>Mã &amp; ràng buộc (FR · BR · NFR)</t>
  </si>
  <si>
    <t>Người phụ trách</t>
  </si>
  <si>
    <t>Tiến độ</t>
  </si>
  <si>
    <t>AC — nghiệm thu (kiểm là ra)</t>
  </si>
  <si>
    <t>Nền</t>
  </si>
  <si>
    <t>Thống nhất hợp đồng API và nền móng repo chung</t>
  </si>
  <si>
    <t>Cả nhóm</t>
  </si>
  <si>
    <t>— (toàn repo)</t>
  </si>
  <si>
    <t>OpenAPI khóa DTO + tên event; quy ước features/&lt;F&gt;/; compose 4 máy liên thông; đổi schema sửa hợp đồng trước</t>
  </si>
  <si>
    <t>RUN-01</t>
  </si>
  <si>
    <t/>
  </si>
  <si>
    <t>Chưa làm</t>
  </si>
  <si>
    <t>AC01: openapi.yaml có Order/Quote/Job/Slot/event; AC02: docker compose up — 2 máy khác nhau gọi lẫn nhau thành công</t>
  </si>
  <si>
    <t>Gỡ toàn bộ dữ liệu mẫu khỏi hệ thống</t>
  </si>
  <si>
    <t>đăng nhập, trang đơn</t>
  </si>
  <si>
    <t>Xóa seeder khởi động (26/09 xong); wipe DB; chip số bịa ở login đã bỏ, giữ 3D</t>
  </si>
  <si>
    <t>RUN-02</t>
  </si>
  <si>
    <t>AC01: DB trắng sau wipe, đăng ký mới → mọi số trên UI từ API; AC02: grep "128|DemoDataSeeder" = 0</t>
  </si>
  <si>
    <t>S8</t>
  </si>
  <si>
    <t>Tính đúng kích thước, thể tích, lỗi của mô hình in 3D</t>
  </si>
  <si>
    <t>Hệ thống</t>
  </si>
  <si>
    <t>thư viện model · đơn-config (thông số)</t>
  </si>
  <si>
    <t>Tải file từ MinIO gọi parser có sẵn: bbox ±0,1 mm, thể tích, kín/multi-edge; bỏ tính từ dung lượng</t>
  </si>
  <si>
    <t>FR-SCHED-001 · BR-ESTIM-001 · PERF-001</t>
  </si>
  <si>
    <t>AC01: cube 10 mm → bbox 10×10×10; AC02: file rỗng/rác → báo lỗi chỉ rõ nguyên nhân; AC03: &lt;10 giây</t>
  </si>
  <si>
    <t>Ước lượng thời gian in và vật liệu tiêu hao</t>
  </si>
  <si>
    <t>đơn-config (trạng thái xử lý)</t>
  </si>
  <si>
    <t>Heuristic từ phân tích + cấu hình in; async có progress; cờ "chưa hiệu chuẩn"</t>
  </si>
  <si>
    <t>FR-SCHED-002 · BR-ESTIM-004 · PERF-001</t>
  </si>
  <si>
    <t>AC01: đổi layer 0.2→0.1 ⇒ thời gian tăng; AC02: 20 MB có kết quả ≤60 giây, UI có tiến trình</t>
  </si>
  <si>
    <t>S1</t>
  </si>
  <si>
    <t>Bảng người dùng và phân quyền thật thay hardcode</t>
  </si>
  <si>
    <t>Admin</t>
  </si>
  <si>
    <t>đăng nhập/đăng ký (redirect theo vai)</t>
  </si>
  <si>
    <t>users/roles thay email hardcode; JWT claim từ DB; migration chạy trên DB trống</t>
  </si>
  <si>
    <t>FR-ADMIN-001a · BR-ACCESS-005</t>
  </si>
  <si>
    <t>AC01: tạo user Lab trong DB → login vào đúng trang Lab; AC02: DemoRoles.cs không còn tham chiếu</t>
  </si>
  <si>
    <t>Xác minh email khi khách đăng ký</t>
  </si>
  <si>
    <t>Khách hàng</t>
  </si>
  <si>
    <t>đăng ký · chốt đơn</t>
  </si>
  <si>
    <t>Cờ Verified + link token; chưa xác thực ⇒ chặn đặt đơn; resend chặn spam</t>
  </si>
  <si>
    <t>FR-CUST-001a · BR-ACCESS-001</t>
  </si>
  <si>
    <t>AC01: tài khoản chưa verify bấm đặt đơn → cảnh dẫn đường dây; AC02: click link → đặt được</t>
  </si>
  <si>
    <t>S3</t>
  </si>
  <si>
    <t>Kiểm tra và báo sớm mô hình không in được</t>
  </si>
  <si>
    <t>thư viện model · đơn-config</t>
  </si>
  <si>
    <t>Liệt lỗi từng chi tiết; vượt khổ mọi máy ⇒ chặn trước báo giá</t>
  </si>
  <si>
    <t>FR-CUST-004 · BR-QUOTE-006 · REL-005</t>
  </si>
  <si>
    <t>AC01: model 400 mm → không bấm được "Lấy báo giá"; AC02: thông báo nêu khổ lớn nhất mạng</t>
  </si>
  <si>
    <t>Báo giá với ngày giao tính theo lịch máy thực tế</t>
  </si>
  <si>
    <t>đơn-config (chip kết quả)</t>
  </si>
  <si>
    <t>Báo giá chạy thử xếp lịch không ghi slot; tải khác ⇒ ngày khác; không lab ⇒ từ chối; gấp ⇒ phí</t>
  </si>
  <si>
    <t>FR-SCHED-005 · BR-QUOTE-002, SCHED-001 · PERF-001</t>
  </si>
  <si>
    <t>AC01: dựng 2 lab trống vs đầy ⇒ 2 ngày khác nhau; AC02: ngày in lại ≠ hằng số +3; AC03: ≤60 giây</t>
  </si>
  <si>
    <t>Định giá thống nhất, khóa phiên bản bảng giá vào báo giá</t>
  </si>
  <si>
    <t>admin/cấu hình giá (T4 hiển thị)</t>
  </si>
  <si>
    <t>Giá = vật liệu + giờ máy + gia công + hub + ship từ kỳ giá; quote lưu mã kỳ</t>
  </si>
  <si>
    <t>FR-SCHED-010 · BR-QUOTE-001..004 · MAINT-005</t>
  </si>
  <si>
    <t>AC01: tổng breakdown = giá; AC02: đổi giá xong báo giá cũ tính lại giữ nguyên; AC03: cùng cấu hình ⇒ cùng giá</t>
  </si>
  <si>
    <t>Chia đơn thành công việc in, xếp lịch không chồng chéo</t>
  </si>
  <si>
    <t>— (engine) · lab queue thấy kết quả</t>
  </si>
  <si>
    <t>Job từ quote_items + phân tích; slot chống chồng (EXCLUDE/lock); due lùi từ ngày giao</t>
  </si>
  <si>
    <t>FR-SCHED-006 · BR-SCHED-001..004 · REL-004</t>
  </si>
  <si>
    <t>AC01: 10 worker đặt song song ⇒ 0 slot chồng; AC02: job có due ≤ ngày giao trừ hub+ship; AC03: bỏ hằng số demo 120³</t>
  </si>
  <si>
    <t>S4</t>
  </si>
  <si>
    <t>Xác nhận đơn hàng kèm điều khoản sử dụng</t>
  </si>
  <si>
    <t>đơn-config (bước cuối)</t>
  </si>
  <si>
    <t>Tick T&amp;C mới đặt; địa chỉ từ danh bạ; đơn + báo giá một giao dịch</t>
  </si>
  <si>
    <t>FR-CUST-007 · BR-QUOTE-003, PAY-001</t>
  </si>
  <si>
    <t>AC01: không tick ⇒ nút disable; AC02: báo giá hết hạn ⇒ không tạo đơn</t>
  </si>
  <si>
    <t>Chế độ tạm: vận hành xác nhận đã thu tiền để đơn chạy tiếp</t>
  </si>
  <si>
    <t>Quản trị mạng</t>
  </si>
  <si>
    <t>ops/đơn hàng</t>
  </si>
  <si>
    <t>API chỉ ops/admin + lý do + audit; khách không tự đánh dấu; xóa khi SEPay xong</t>
  </si>
  <si>
    <t>FR-CUST-008b · BR-PAY-001</t>
  </si>
  <si>
    <t>AC01: mark-paid ⇒ đơn vào engine; AC02: khách gọi API này ⇒ 403; AC03: audit có dòng ghi lý do</t>
  </si>
  <si>
    <t>S6</t>
  </si>
  <si>
    <t>Xưởng nhận hoặc từ chối việc trong hạn 2 giờ</t>
  </si>
  <si>
    <t>Quản lý xưởng</t>
  </si>
  <si>
    <t>lab/hàng đợi job</t>
  </si>
  <si>
    <t>Từ chối chọn lý do; đếm giờ; quá hạn tự nhả về engine</t>
  </si>
  <si>
    <t>FR-LAB-004 · BR-ASSIGN-005/006</t>
  </si>
  <si>
    <t>AC01: từ chối ⇒ job về pending trong ≤5 phút; AC02: đồng hồ hiện đúng hạn còn lại</t>
  </si>
  <si>
    <t>S7</t>
  </si>
  <si>
    <t>Hub tiếp nhận lô hàng, đối chiếu đủ thiếu</t>
  </si>
  <si>
    <t>QC hub</t>
  </si>
  <si>
    <t>hub/nhận lô</t>
  </si>
  <si>
    <t>Nhập mã lô tick từng job; thiếu/hỏng ⇒ sự cố + báo</t>
  </si>
  <si>
    <t>FR-HUB-001 · BR-QC-010</t>
  </si>
  <si>
    <t>AC01: lô 3 job báo 2 ⇒ 1 dòng MISSING + thông báo xưởng; AC02: nhận xong đẩy vào hàng đợi kiểm</t>
  </si>
  <si>
    <t>Tập hợp đơn, đóng gói, gửi hàng, xác nhận giao</t>
  </si>
  <si>
    <t>Thủ kho hub</t>
  </si>
  <si>
    <t>hub/hoàn tất đơn</t>
  </si>
  <si>
    <t>Chặn pack khi còn món chưa đậu; ghi vận đơn; DELIVERED mở bảo hành 30 ngày; trạng thái bằng API thật</t>
  </si>
  <si>
    <t>FR-HUB-004+005 · BR-QC-008/009</t>
  </si>
  <si>
    <t>AC01: pack khi còn FAIL ⇒ 409 + danh sách outstanding; AC02: xác nhận giao ⇒ cột "còn hiệu lực bảo hành" chạy; AC03: đơn không còn kẹt Confirmed</t>
  </si>
  <si>
    <t>S5</t>
  </si>
  <si>
    <t>Khách theo dõi đơn theo thời gian thực</t>
  </si>
  <si>
    <t>đơn hàng (timeline)</t>
  </si>
  <si>
    <t>Bật publisher; poll 15 giây làm backup; không lộ xưởng</t>
  </si>
  <si>
    <t>FR-CUST-009 · BR-NOTIFY-001</t>
  </si>
  <si>
    <t>AC01: thợ bấm "đang in" ⇒ tab khách đổi ≤15 giây; AC02: soi payload 0 chữ lab</t>
  </si>
  <si>
    <t>Bổ sung đủ lựa chọn cấu hình in</t>
  </si>
  <si>
    <t>đơn-config (cấu hình)</t>
  </si>
  <si>
    <t>Thêm gia công sau in/cấp dịch vụ/hạn cần nhận; tổ hợp lỗi disable</t>
  </si>
  <si>
    <t>FR-CUST-005 · BR-CONFIG-003</t>
  </si>
  <si>
    <t>AC01: chọn resin không tồn kho ⇒ disable có lý do; AC02: các field mới vào báo giá</t>
  </si>
  <si>
    <t>Màn hình báo giá hiển thị số thật từ hệ thống</t>
  </si>
  <si>
    <t>đơn-config (báo giá)</t>
  </si>
  <si>
    <t>Đọc DTO engine; breakdown + ngày + đếm ngược hạn; hết hạn disable</t>
  </si>
  <si>
    <t>FR-CUST-006 · BR-QUOTE-005/007 · PERF-001</t>
  </si>
  <si>
    <t>AC01: số màn = số API; AC02: hạn 48h chạy thật; AC03: FE không tự tính giá</t>
  </si>
  <si>
    <t>Bộ kiểm thử tích hợp chạy tự động trên CI</t>
  </si>
  <si>
    <t>—</t>
  </si>
  <si>
    <t>Testcontainers + 15 ca chuỗi + ca song song; CI đêm</t>
  </si>
  <si>
    <t>RUN-03 · REL-004</t>
  </si>
  <si>
    <t>AC01: dotnet test xanh; AC02: ca song song là regression cho AC01 task tuần 2</t>
  </si>
  <si>
    <t>Hệ thống tự xếp lại lịch khi có sự cố</t>
  </si>
  <si>
    <t>— (engine) · ops/monitor T4</t>
  </si>
  <si>
    <t>Xử lý từ-chối/in-hỏng/chết-máy ≤30s; không đụng đang in; lịch dự phòng; không kịp ⇒ luồng xin dời</t>
  </si>
  <si>
    <t>FR-SCHED-007 · BR-RESCHED-001/002, SCHED-005..008 · PERF-002</t>
  </si>
  <si>
    <t>AC01: fail ở 80% thời lượng ⇒ job khác máy ≤30s; AC02: 0 job IN_PROGRESS bị đổi; AC03: khách không trễ nếu còn slack</t>
  </si>
  <si>
    <t>In lại khẩn giữ ngày giao gốc, quá 2 lần thì báo người</t>
  </si>
  <si>
    <t>— (engine)</t>
  </si>
  <si>
    <t>URGENT deadline gốc; phí theo bên lỗi; lần 3 ⇒ hàng đợi vận hành</t>
  </si>
  <si>
    <t>FR-SCHED-008b · BR-RESCHED-003/004</t>
  </si>
  <si>
    <t>AC01: job in lại có deadline = gốc; AC02: lần 3 không tự chạy, có dòng chờ ops</t>
  </si>
  <si>
    <t>Lưu vết từng quyết định chọn xưởng in</t>
  </si>
  <si>
    <t>ops/hạch-thực-gán (T4 màn)</t>
  </si>
  <si>
    <t>Ghi ứng viên + từng điểm + kỳ cấu hình cùng giao dịch; ghi hỏng ⇒ hoàn cả</t>
  </si>
  <si>
    <t>FR-SCHED-009 · BR-ASSIGN-004 · LEGAL-002</t>
  </si>
  <si>
    <t>AC01: tra job bất kỳ ra ≥1 ứng viên + điểm; AC02: tắt bảng log ⇒ gán thất bại toàn bộ (không im lặng)</t>
  </si>
  <si>
    <t>Lọc máy in theo đủ mọi điều kiện khả thi</t>
  </si>
  <si>
    <t>Thêm tồn kho + uy tín; 30 ca cố-ý-không-khả-thi, test tách scoring</t>
  </si>
  <si>
    <t>FR-SCHED-003 · BR-ASSIGN-001 · REL-005</t>
  </si>
  <si>
    <t>AC01: 0 vi phạm trong suite; AC02: stock = 0 ⇒ lab mất tổ hợp màu</t>
  </si>
  <si>
    <t>Quản lý kho vật liệu theo màu và số lượng</t>
  </si>
  <si>
    <t>lab/kho</t>
  </si>
  <si>
    <t>Giữ khi nhận job, quyết toán khi xong; cảnh báo gần hết</t>
  </si>
  <si>
    <t>FR-LAB-003 · BR-ASSIGN-001</t>
  </si>
  <si>
    <t>AC01: nhận job 50 g ⇒ kho trừ 50; AC02: dưới ngưỡng ⇒ cảnh báo + engine không giao thêm màu đó</t>
  </si>
  <si>
    <t>Màn hình vận hành in thân thiện với xưởng</t>
  </si>
  <si>
    <t>Thợ in</t>
  </si>
  <si>
    <t>lab/hàng đợi in</t>
  </si>
  <si>
    <t>≤3 chạm đổi trạng thái; offline 2 phút không mất liệu; thời gian/vật liệu thật bắt buộc; sự cố ảnh + %</t>
  </si>
  <si>
    <t>FR-LAB-005 · BR-ESTIM-001 · USE-006</t>
  </si>
  <si>
    <t>AC01: tablet 768px thao tác đủ; AC02: hoàn thành thiếu thời gian ⇒ không lưu; AC03: sự cố đẩy sang engine (phối hợp task vá lịch)</t>
  </si>
  <si>
    <t>Kiểm hàng theo checklist chuẩn</t>
  </si>
  <si>
    <t>hub/kiểm hàng</t>
  </si>
  <si>
    <t>Checklist theo cấp + phiên bản; ảnh bắt buộc; trượt ⇒ loại lỗi + quy trách</t>
  </si>
  <si>
    <t>FR-HUB-002 · BR-QC-002/003/004</t>
  </si>
  <si>
    <t>AC01: không ảnh ⇒ không lưu kết luận; AC02: mỗi mục kiểm có đậu/trượt/không áp dụng; AC03: trượt thiếu quy trách ⇒ không chuyển in lại</t>
  </si>
  <si>
    <t>Hàng không đạt tự sinh lệnh in lại</t>
  </si>
  <si>
    <t>Trượt do xưởng/hub ⇒ sự cố sang engine; do khách ⇒ xin khách trả phí</t>
  </si>
  <si>
    <t>FR-HUB-003 · BR-QC-005..007</t>
  </si>
  <si>
    <t>AC01: FAIL + lỗi xưởng ⇒ job URGENT xuất hiện ở lab; AC02: lỗi khách ⇒ email gửi, 0 job tạo</t>
  </si>
  <si>
    <t>Khách gửi yêu cầu in lại hoặc khiếu nại</t>
  </si>
  <si>
    <t>đơn hàng (sau giao)</t>
  </si>
  <si>
    <t>Form + ảnh; trong 30 ngày; vào hàng đợi hub</t>
  </si>
  <si>
    <t>FR-CUST-011 · BR-QC-009</t>
  </si>
  <si>
    <t>AC01: ngày 31 ⇒ bị chặn kèm lý do; AC02: gửi xong thấy trạng thái "chờ xử lý"</t>
  </si>
  <si>
    <t>Thư viện mô hình và thông tin tài khoản khách</t>
  </si>
  <si>
    <t>khách/thư viện · hồ sơ-địa-chỉ</t>
  </si>
  <si>
    <t>Đặt lại nhớ cấu hình cũ; đổi mật khẩu cần mật khẩu cũ; chặn xóa địa chỉ đang dùng; quota</t>
  </si>
  <si>
    <t>FR-CUST-010 · BR-ACCESS-006</t>
  </si>
  <si>
    <t>AC01: reorder điền sẵn config lần trước; AC02: xóa địa chỉ đơn đang chạy ⇒ 409</t>
  </si>
  <si>
    <t>Kiểm định dạng file và hạn mức dung lượng tải lên</t>
  </si>
  <si>
    <t>khách/tải file</t>
  </si>
  <si>
    <t>Server kiểm đuôi + đầu magic file, đúng 50 MB; quota theo tài khoản</t>
  </si>
  <si>
    <t>FR-CUST-002b · BR-ACCESS-006</t>
  </si>
  <si>
    <t>AC01: .exe đổi đuôi .stl ⇒ từ chối; AC02: file 51 MB ⇒ 413 rõ lời</t>
  </si>
  <si>
    <t>Ghi nhật ký thao tác và màn hình tra cứu</t>
  </si>
  <si>
    <t>admin/nhật-ký</t>
  </si>
  <si>
    <t>Ghi mới thôi actor/hành động/trước-sau; tra lọc; 0 cửa sửa/xóa</t>
  </si>
  <si>
    <t>FR-ADMIN-004 · BR-CONFIG-002/004 · LEGAL-002</t>
  </si>
  <si>
    <t>AC01: đổi 1 tham số ⇒ 1 dòng log trước/sau; AC02: API sửa log ⇒ 405; AC03: tra &lt;2 giây</t>
  </si>
  <si>
    <t>Quản lý người dùng và áp phân quyền mọi API</t>
  </si>
  <si>
    <t>admin/người-dùng</t>
  </si>
  <si>
    <t>Tạo/khóa/đổi vai; không tự khóa mình; ma trận test 6 vai × endpoint; lab cách ly job</t>
  </si>
  <si>
    <t>FR-ADMIN-001b · BR-ACCESS-005</t>
  </si>
  <si>
    <t>AC01: Lab B gọi API job Lab A ⇒ 403; AC02: khóa user ⇒ request kế tiếp ≤1 phút bật 401</t>
  </si>
  <si>
    <t>S2</t>
  </si>
  <si>
    <t>Màn cấu hình tham số kinh doanh có phiên bản</t>
  </si>
  <si>
    <t>admin/cấu-hình</t>
  </si>
  <si>
    <t>Bảng kỳ tham số; preview diff; hiệu lực ≤1 phút không khởi động lại; không hồi tố</t>
  </si>
  <si>
    <t>FR-ADMIN-002 · BR-CONFIG-001..003 · MAINT-005</t>
  </si>
  <si>
    <t>AC01: đổiPLA 450→500, quote mới đổi ≤1 phút, quote cũ giữ; AC02: preview trước khi lưu</t>
  </si>
  <si>
    <t>Đưa danh mục vật liệu, màu, công nghệ vào cơ sở dữ liệu</t>
  </si>
  <si>
    <t>admin/danh-mục</t>
  </si>
  <si>
    <t>Vật liệu/màu/công nghệ/cấp vào DB; đang dùng ⇒ nghỉ-dùng thôi; FE đọc API</t>
  </si>
  <si>
    <t>FR-ADMIN-003 · BR-CONFIG-003</t>
  </si>
  <si>
    <t>AC01: xóa vật liệu đang ở báo giá ⇒ bị chặn; AC02: thêm PETG-Grey ⇒ hiện ở đơn-config không sửa code</t>
  </si>
  <si>
    <t>Quản lý checklist kiểm hàng và danh mục lỗi</t>
  </si>
  <si>
    <t>admin/bộ-kiểm-hàng</t>
  </si>
  <si>
    <t>Checklist theo cấp có phiên bản; mã lỗi đã dùng chỉ nghỉ-dùng</t>
  </si>
  <si>
    <t>FR-ADMIN-005 · BR-QC-002, CONFIG-001</t>
  </si>
  <si>
    <t>AC01: ca kiểm đang chạy giữ phiên bản cũ; AC02: thử xóa mã lỗi đã dùng ⇒ 409</t>
  </si>
  <si>
    <t>Xưởng tự đăng ký, quản trị viên xét duyệt</t>
  </si>
  <si>
    <t>lab/đăng-ký · admin/duyệt</t>
  </si>
  <si>
    <t>Khai lịch + thời gian chuyển hub; PENDING→ACTIVE bởi admin; chưa đủ hồ sơ ⇒ chưa vào lọc</t>
  </si>
  <si>
    <t>FR-LAB-001 · BR-OPS-005/006</t>
  </si>
  <si>
    <t>AC01: lab chưa duyệt không nhận job; AC02: thiếu máy ⇒ không nộp được</t>
  </si>
  <si>
    <t>Màn hình khai báo và bảo trì máy in</t>
  </si>
  <si>
    <t>lab/máy</t>
  </si>
  <si>
    <t>CRUD + lịch bảo trì; chặn xóa khi còn job; chỉ máy mình</t>
  </si>
  <si>
    <t>FR-LAB-002 · BR-OPS-006</t>
  </si>
  <si>
    <t>AC01: offline ⇒ filter loại trong ≤1 phút; AC02: xóa máy còn job ⇒ 409</t>
  </si>
  <si>
    <t>Lịch hoạt động máy và điểm hiệu năng của xưởng</t>
  </si>
  <si>
    <t>lab/dòng-thời-gian · điểm</t>
  </si>
  <si>
    <t>Gantt từ slot cập nhật sau vá; điểm + số liệu, &lt;10 job ⇒ điểm tạm</t>
  </si>
  <si>
    <t>FR-LAB-006+007 · BR-PERF-004</t>
  </si>
  <si>
    <t>AC01: hoàn tất job ⇒ slot biến mất khỏi tương lai; AC02: điểm hiện đúng 4 chỉ số + mốc so sánh ẩn danh</t>
  </si>
  <si>
    <t>S9</t>
  </si>
  <si>
    <t>Bảng điều hành mạng lưới và công cụ can thiệp</t>
  </si>
  <si>
    <t>ops/monitor · gạch-thực-gán · ghi-lại</t>
  </si>
  <si>
    <t>Đơn mở/nguy hiểm trễ/tải xưởng; gán lại qua filter; 2 bước khi đụng ngày khách; lý do + audit</t>
  </si>
  <si>
    <t>FR-ANAL-001+004 · BR-OPS-001..004,007</t>
  </si>
  <si>
    <t>AC01: job slack&lt;4h đỏ trong ≤15 phút; AC02: gán vào máy không đủ khổ ⇒ 400; AC03: mọi can thiệp có audit</t>
  </si>
  <si>
    <t>Đọc trọng số chấm điểm từ cấu hình, bỏ mã cứng</t>
  </si>
  <si>
    <t>Trọng số đọc kỳ cấu hình; đơn vị hồi quy</t>
  </si>
  <si>
    <t>FR-SCHED-004 · BR-ASSIGN-002/003 · MAINT-005</t>
  </si>
  <si>
    <t>AC01: đổi trọng số tải ⇒ gán kế tiếp đổi theo; AC02: tổng ≠ 1.0 ⇒ chặn lưu</t>
  </si>
  <si>
    <t>Xin khách đồng ý khi buộc phải dời ngày giao</t>
  </si>
  <si>
    <t>khách/link thông-báo</t>
  </si>
  <si>
    <t>Đúng 3 điều kiện B16; khách đồng ý mới đổi; từ chối ⇒ hoàn tiền</t>
  </si>
  <si>
    <t>FR-CUST-011b · BR-SCHED-008, NOTIFY-002 · REL-006</t>
  </si>
  <si>
    <t>AC01: ops đổi ngày không có đơn xin ⇒ API từ chối; AC02: đồng ý ⇒ ngày + audit; từ chối ⇒ dòng chờ hoàn</t>
  </si>
  <si>
    <t>S10</t>
  </si>
  <si>
    <t>Xây hệ thống mô phỏng toàn mạng xưởng in</t>
  </si>
  <si>
    <t>Nhóm Engine</t>
  </si>
  <si>
    <t>— (CLI)</t>
  </si>
  <si>
    <t>Đồng hồ ảo, lab/máy ảo, engine nguyên bản; cùng hạt giống ⇒ cùng kết quả; sinh đơn ảo</t>
  </si>
  <si>
    <t>RUN-04 · BR-OPS-008 · TEST-003</t>
  </si>
  <si>
    <t>AC01: 2 lần cùng seed khác thời gian ⇒ log giống hệt; AC02: 1000 đơn/tháng chạy hết</t>
  </si>
  <si>
    <t>Mô phỏng 4 loại sự cố sản xuất thực tế</t>
  </si>
  <si>
    <t>Từ-chối; hỏng theo % (đỉnh 60–90%); chết máy + thời gian sửa; kiểm trượt</t>
  </si>
  <si>
    <t>RUN-05 · BR-RESCHED-001 · TEST-003</t>
  </si>
  <si>
    <t>AC01: từng loại bật/tắt độc lập bằng config; AC02: hỏng ⇒ vá lịch của T3 bắt buộc chạy</t>
  </si>
  <si>
    <t>Xem trước mô hình 3D trên trình duyệt (tùy chọn)</t>
  </si>
  <si>
    <t>khách/xem-trước-3D</t>
  </si>
  <si>
    <t>Xoay/phóng; ô biên khớp số phân tích</t>
  </si>
  <si>
    <t>FR-CUST-003</t>
  </si>
  <si>
    <t>AC01: thông số bằng đúng bảng phân tích; AC02: 60 fps trên máy bàn; SẼ CẮT nếu trễ</t>
  </si>
  <si>
    <t>Đo 4 chiến lược xếp lịch và thử tải quy mô lớn</t>
  </si>
  <si>
    <t>4 chiến lược cùng dữ liệu vào; chỉ số trễ đúng hẹn Gini; stress 50 lab/300 máy</t>
  </si>
  <si>
    <t>RUN-06 · BR-OPS-008 · SCALE-001, TEST-003</t>
  </si>
  <si>
    <t>AC01: bảng 4 cột số; AC02: stress không vỡ cam kết 30s; AC03: mọi số trace về seed</t>
  </si>
  <si>
    <t>Tự hiệu chỉnh sai lệch ước lượng từ dữ liệu in thật</t>
  </si>
  <si>
    <t>ops/monitor (MAPE)</t>
  </si>
  <si>
    <t>Đêm gom cặp (ước, thực)/model, lọc ngoại lai, ≥10 mẫu; không hồi tố</t>
  </si>
  <si>
    <t>FR-SCHED-008 · BR-ESTIM-002..006 · ACC-001</t>
  </si>
  <si>
    <t>AC01: 12 mẫu ⇒ kỳ mới + MAPE giảm; AC02: &lt;10 ⇒ báo thiếu mẫu, không đổi</t>
  </si>
  <si>
    <t>Theo dõi hiệu năng và báo cáo chất lượng dịch vụ</t>
  </si>
  <si>
    <t>ops/báo-cáo-sla</t>
  </si>
  <si>
    <t>Chỉ số từ lịch sử job, cửa sổ 90 ngày; kỳ trống ⇒ "không dữ liệu"; xuất file audit</t>
  </si>
  <si>
    <t>FR-ANAL-002+003 · BR-PERF-001/002, CONFIG-004</t>
  </si>
  <si>
    <t>AC01: đúng hạn = đúng giao/nhận đúng hạn; AC02: CSV mở được không cần app</t>
  </si>
  <si>
    <t>Tích hợp cổng thanh toán SEPay (QR, xác minh 2 bước)</t>
  </si>
  <si>
    <t>khách/thanh-toán</t>
  </si>
  <si>
    <t>QR hết hạn = hạn báo giá; chốt khi webhook + API xác nhận khớp tiền; trùng không tạo trùng</t>
  </si>
  <si>
    <t>FR-CUST-008 · BR-PAY-001/005 · SEC-009</t>
  </si>
  <si>
    <t>AC01: thẻ test đủ tiền ⇒ đơn vào engine; AC02: chỉ webhook không confirm ⇒ đơn đứng PENDING; AC03: DB không trường nào chứa thẻ; AC04: cầu T2 bị xóa — XIN APP KEY TỪ TUẦN 5</t>
  </si>
  <si>
    <t>Hoàn tiền và đối soát giao dịch hằng ngày</t>
  </si>
  <si>
    <t>ops/hoàn-tiền</t>
  </si>
  <si>
    <t>Toàn/bộ phần theo món; chống hoàn 2 lần; quá 5 ngày ⇒ nhắc; T-1 lệch ⇒ phong tỏa</t>
  </si>
  <si>
    <t>FR-ANAL-005 · BR-PAY-004/006 · SEC-009</t>
  </si>
  <si>
    <t>AC01: 2 lần bấm hoàn ⇒ 1 giao dịch; AC02: file đối soát có tiêu chí lệch; AC03: hoàn xong đơn DELIVERED thành REFUNDED</t>
  </si>
  <si>
    <t>Deploy ra máy chủ công khai phục vụ demo</t>
  </si>
  <si>
    <t>Nhóm Nền tảng</t>
  </si>
  <si>
    <t>Staging TLS + webhook URL cố định; khôi phục sao lưu ≤15 phút; smoke 10 call</t>
  </si>
  <si>
    <t>RUN-07 · REL-002</t>
  </si>
  <si>
    <t>AC01: mở URL từ 4G điện thoại chạy; AC02: restore DB trống bằng bản sao lưu trong 15 phút</t>
  </si>
  <si>
    <t>Chạy in thực tế tại phòng lab đối tác</t>
  </si>
  <si>
    <t>Nhóm Xưởng</t>
  </si>
  <si>
    <t>lab/hàng-đợi-in (dùng thật)</t>
  </si>
  <si>
    <t>5–10 job ghi cặp (ước lượng, thực) nuôi hiệu chuẩn + slide</t>
  </si>
  <si>
    <t>RUN-08 · BR-ESTIM-001 · ACC-001</t>
  </si>
  <si>
    <t>AC01: bảng số thật đủ cột; AC02: MAPE lần đầu tính được</t>
  </si>
  <si>
    <t>Dọn lỗi, tổng duyệt 3 kịch bản demo, chốt hồ sơ</t>
  </si>
  <si>
    <t>mọi màn</t>
  </si>
  <si>
    <t>Không còn "Phải làm" Block; 3 màn &lt;10 phút diễn 2 lần; hồ sơ 09–13 tick; phiếu v1.2 đóng băng</t>
  </si>
  <si>
    <t>RUN-09</t>
  </si>
  <si>
    <t>AC01: bảng tiến độ sheet này hết dòng "Phải làm" chưa xong; AC02: người không code bấm thử không vướng</t>
  </si>
  <si>
    <t>Báo cáo đánh giá kết quả thuật toán</t>
  </si>
  <si>
    <t>Bảng + biểu đồ từ RUN-06; số trace về lần chạy + hạt giống; giới hạn</t>
  </si>
  <si>
    <t>RUN-10 · BR-OPS-008 · TEST-003</t>
  </si>
  <si>
    <t>AC01: mỗi con số chú thích seed + ngày chạy</t>
  </si>
  <si>
    <t>Nhóm cắt khi phình</t>
  </si>
  <si>
    <t>admin/sức-khỏe · engine/gom-lô · engine/công-bằng</t>
  </si>
  <si>
    <t>Sức khỏe tiến trình (nếu C3 chốt làm runbook), gom lô, exploration công bằng, i18n</t>
  </si>
  <si>
    <t>BỎ-01 · BR-SCHED-002/003, ASSIGN-007</t>
  </si>
  <si>
    <t>AC01: chỉ làm khi cả 4 cổng tuần 1–6 đậu đúng hạn</t>
  </si>
  <si>
    <t>54 dòng công việc</t>
  </si>
  <si>
    <t>Lượng việc nằm trong chữ "Cụ thể"; quy đổi ngày công (ẩn): tổng ≈ 172d vs trần 4 người × 8 tuần ≈ 128–160d ⇒ cắt đúng nhóm BỎ-01/Nên-làm khi bất kỳ cổng tuần nào trễ</t>
  </si>
  <si>
    <t>TÓM TẮT MÀN HÌNH FE — một màn một chủ trong một tuần</t>
  </si>
  <si>
    <t>Màn hình</t>
  </si>
  <si>
    <t>Chủ folder</t>
  </si>
  <si>
    <t>FR có mặt ở đây</t>
  </si>
  <si>
    <t>đăng nhập / đăng ký (3D giữ, số bịa bỏ)</t>
  </si>
  <si>
    <t>Nền tảng</t>
  </si>
  <si>
    <t>CUST-001</t>
  </si>
  <si>
    <t>1, 4</t>
  </si>
  <si>
    <t>trang chủ</t>
  </si>
  <si>
    <t>(sống /network/stats)</t>
  </si>
  <si>
    <t>đã có</t>
  </si>
  <si>
    <t>khách: thư viện · tải file · xem trước · hồ sơ-địa chỉ</t>
  </si>
  <si>
    <t>Đơn hàng &amp; Cam kết</t>
  </si>
  <si>
    <t>CUST-002,003,010 + địa chỉ</t>
  </si>
  <si>
    <t>1, 3, 5</t>
  </si>
  <si>
    <t>khách: đơn-config (cấu hình → báo giá → xác nhận)</t>
  </si>
  <si>
    <t>Đơn hàng–Thanh toán</t>
  </si>
  <si>
    <t>CUST-004..007 (+ chip kết quả của Engine)</t>
  </si>
  <si>
    <t>2</t>
  </si>
  <si>
    <t>khách: thanh toán SEPay</t>
  </si>
  <si>
    <t>CUST-008 + cầu T2</t>
  </si>
  <si>
    <t>2 (cầu) → 7 (thật)</t>
  </si>
  <si>
    <t>khách: đơn hàng + timeline + khiếu nại</t>
  </si>
  <si>
    <t>Cam kết &amp; Thông báo</t>
  </si>
  <si>
    <t>CUST-009, 011</t>
  </si>
  <si>
    <t>2, 3</t>
  </si>
  <si>
    <t>lab: đăng ký · máy · kho · hàng đợi job · hàng đợi in · dòng thời gian · điểm</t>
  </si>
  <si>
    <t>Xưởng in</t>
  </si>
  <si>
    <t>LAB-001..007</t>
  </si>
  <si>
    <t>2, 3, 4</t>
  </si>
  <si>
    <t>hub: nhận lô · kiểm hàng · hoàn tất (gộp/pack/ship/giao)</t>
  </si>
  <si>
    <t>Hub</t>
  </si>
  <si>
    <t>HUB-001..005</t>
  </si>
  <si>
    <t>ops: monitor · hạch-thực-gán · ghi-lại · hoàn-tiền · báo-cáo-SLA</t>
  </si>
  <si>
    <t>3 chủ tách thư mục: Engine (gán lại) / Đơn hàng (hoàn tiền) / Hub (báo cáo)</t>
  </si>
  <si>
    <t>ANAL-001..005 + SCHED-009</t>
  </si>
  <si>
    <t>2, 3, 4, 6, 7</t>
  </si>
  <si>
    <t>admin: người-dùng · cấu-hình · danh-mục · bộ-kiểm · nhật-ký · duyệt-lab</t>
  </si>
  <si>
    <t>ADMIN-001..005 + LAB-001 duyệt</t>
  </si>
  <si>
    <t>Tên</t>
  </si>
  <si>
    <t>Tổng số việc đã nhận</t>
  </si>
  <si>
    <t>T1</t>
  </si>
  <si>
    <t>T2</t>
  </si>
  <si>
    <t>T3</t>
  </si>
  <si>
    <t>T4</t>
  </si>
  <si>
    <t>T5</t>
  </si>
  <si>
    <t>T6</t>
  </si>
  <si>
    <t>T7</t>
  </si>
  <si>
    <t>T8</t>
  </si>
  <si>
    <t>Tân</t>
  </si>
  <si>
    <t>Minh</t>
  </si>
  <si>
    <t>Nhật</t>
  </si>
  <si>
    <t>Tuấn</t>
  </si>
  <si>
    <t>MẸO</t>
  </si>
  <si>
    <t>Lọc cột "Người phụ trách" ở trang chính để thấy exactly việc của mình theo tuần; ai nhận quá 16 dòng thì san bớt dòng "Nên làm" cho người dưới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</si>
</sst>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color rgb="FF7F7F7F"/>
      <sz val="9"/>
    </font>
    <font>
      <b/>
      <color rgb="FFFFFFFF"/>
    </font>
    <font>
      <b/>
    </font>
    <font>
      <b/>
      <i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7" borderId="0" xfId="0" applyFill="1"/>
    <xf numFmtId="0" fontId="0" fillId="7" borderId="0" xfId="0" applyFill="1" applyAlignment="1">
      <alignment vertical="top" wrapText="1"/>
    </xf>
    <xf numFmtId="0" fontId="0" fillId="8" borderId="0" xfId="0" applyFill="1"/>
    <xf numFmtId="0" fontId="0" fillId="8" borderId="0" xfId="0" applyFill="1" applyAlignment="1">
      <alignment vertical="top" wrapText="1"/>
    </xf>
    <xf numFmtId="0" fontId="0" fillId="9" borderId="0" xfId="0" applyFill="1"/>
    <xf numFmtId="0" fontId="0" fillId="9" borderId="0" xfId="0" applyFill="1" applyAlignment="1">
      <alignment vertical="top" wrapText="1"/>
    </xf>
    <xf numFmtId="0" fontId="0" fillId="10" borderId="0" xfId="0" applyFill="1"/>
    <xf numFmtId="0" fontId="0" fillId="1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3" width="5" customWidth="1"/>
    <col min="4" max="4" width="32" customWidth="1"/>
    <col min="5" max="5" width="12" customWidth="1"/>
    <col min="6" max="6" width="24" customWidth="1"/>
    <col min="7" max="7" width="64" customWidth="1"/>
    <col min="8" max="8" width="26" customWidth="1"/>
    <col min="9" max="9" width="13" customWidth="1"/>
    <col min="10" max="10" width="11" customWidth="1"/>
    <col min="11" max="11" width="64" customWidth="1"/>
  </cols>
  <sheetData>
    <row r="1" ht="44" customHeight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>
        <v>1</v>
      </c>
      <c r="B3" s="3">
        <v>1</v>
      </c>
      <c r="C3" s="3" t="s">
        <v>12</v>
      </c>
      <c r="D3" s="3" t="s">
        <v>13</v>
      </c>
      <c r="E3" s="3" t="s">
        <v>14</v>
      </c>
      <c r="F3" s="4" t="s">
        <v>15</v>
      </c>
      <c r="G3" s="4" t="s">
        <v>16</v>
      </c>
      <c r="H3" s="4" t="s">
        <v>17</v>
      </c>
      <c r="I3" s="3" t="s">
        <v>18</v>
      </c>
      <c r="J3" s="3" t="s">
        <v>19</v>
      </c>
      <c r="K3" s="4" t="s">
        <v>20</v>
      </c>
    </row>
    <row r="4" spans="1:11" x14ac:dyDescent="0.25">
      <c r="A4" s="3">
        <v>2</v>
      </c>
      <c r="B4" s="3">
        <v>1</v>
      </c>
      <c r="C4" s="3" t="s">
        <v>12</v>
      </c>
      <c r="D4" s="3" t="s">
        <v>21</v>
      </c>
      <c r="E4" s="3" t="s">
        <v>14</v>
      </c>
      <c r="F4" s="4" t="s">
        <v>22</v>
      </c>
      <c r="G4" s="4" t="s">
        <v>23</v>
      </c>
      <c r="H4" s="4" t="s">
        <v>24</v>
      </c>
      <c r="I4" s="3" t="s">
        <v>18</v>
      </c>
      <c r="J4" s="3" t="s">
        <v>19</v>
      </c>
      <c r="K4" s="4" t="s">
        <v>25</v>
      </c>
    </row>
    <row r="5" spans="1:11" x14ac:dyDescent="0.25">
      <c r="A5" s="3">
        <v>3</v>
      </c>
      <c r="B5" s="3">
        <v>1</v>
      </c>
      <c r="C5" s="3" t="s">
        <v>26</v>
      </c>
      <c r="D5" s="3" t="s">
        <v>27</v>
      </c>
      <c r="E5" s="3" t="s">
        <v>28</v>
      </c>
      <c r="F5" s="4" t="s">
        <v>29</v>
      </c>
      <c r="G5" s="4" t="s">
        <v>30</v>
      </c>
      <c r="H5" s="4" t="s">
        <v>31</v>
      </c>
      <c r="I5" s="3" t="s">
        <v>18</v>
      </c>
      <c r="J5" s="3" t="s">
        <v>19</v>
      </c>
      <c r="K5" s="4" t="s">
        <v>32</v>
      </c>
    </row>
    <row r="6" spans="1:11" x14ac:dyDescent="0.25">
      <c r="A6" s="3">
        <v>4</v>
      </c>
      <c r="B6" s="3">
        <v>1</v>
      </c>
      <c r="C6" s="3" t="s">
        <v>26</v>
      </c>
      <c r="D6" s="3" t="s">
        <v>33</v>
      </c>
      <c r="E6" s="3" t="s">
        <v>28</v>
      </c>
      <c r="F6" s="4" t="s">
        <v>34</v>
      </c>
      <c r="G6" s="4" t="s">
        <v>35</v>
      </c>
      <c r="H6" s="4" t="s">
        <v>36</v>
      </c>
      <c r="I6" s="3" t="s">
        <v>18</v>
      </c>
      <c r="J6" s="3" t="s">
        <v>19</v>
      </c>
      <c r="K6" s="4" t="s">
        <v>37</v>
      </c>
    </row>
    <row r="7" spans="1:11" x14ac:dyDescent="0.25">
      <c r="A7" s="3">
        <v>5</v>
      </c>
      <c r="B7" s="3">
        <v>1</v>
      </c>
      <c r="C7" s="3" t="s">
        <v>38</v>
      </c>
      <c r="D7" s="3" t="s">
        <v>39</v>
      </c>
      <c r="E7" s="3" t="s">
        <v>40</v>
      </c>
      <c r="F7" s="4" t="s">
        <v>41</v>
      </c>
      <c r="G7" s="4" t="s">
        <v>42</v>
      </c>
      <c r="H7" s="4" t="s">
        <v>43</v>
      </c>
      <c r="I7" s="3" t="s">
        <v>18</v>
      </c>
      <c r="J7" s="3" t="s">
        <v>19</v>
      </c>
      <c r="K7" s="4" t="s">
        <v>44</v>
      </c>
    </row>
    <row r="8" spans="1:11" x14ac:dyDescent="0.25">
      <c r="A8" s="3">
        <v>6</v>
      </c>
      <c r="B8" s="3">
        <v>1</v>
      </c>
      <c r="C8" s="3" t="s">
        <v>38</v>
      </c>
      <c r="D8" s="3" t="s">
        <v>45</v>
      </c>
      <c r="E8" s="3" t="s">
        <v>46</v>
      </c>
      <c r="F8" s="4" t="s">
        <v>47</v>
      </c>
      <c r="G8" s="4" t="s">
        <v>48</v>
      </c>
      <c r="H8" s="4" t="s">
        <v>49</v>
      </c>
      <c r="I8" s="3" t="s">
        <v>18</v>
      </c>
      <c r="J8" s="3" t="s">
        <v>19</v>
      </c>
      <c r="K8" s="4" t="s">
        <v>50</v>
      </c>
    </row>
    <row r="9" spans="1:11" x14ac:dyDescent="0.25">
      <c r="A9" s="3">
        <v>7</v>
      </c>
      <c r="B9" s="3">
        <v>1</v>
      </c>
      <c r="C9" s="3" t="s">
        <v>51</v>
      </c>
      <c r="D9" s="3" t="s">
        <v>52</v>
      </c>
      <c r="E9" s="3" t="s">
        <v>46</v>
      </c>
      <c r="F9" s="4" t="s">
        <v>53</v>
      </c>
      <c r="G9" s="4" t="s">
        <v>54</v>
      </c>
      <c r="H9" s="4" t="s">
        <v>55</v>
      </c>
      <c r="I9" s="3" t="s">
        <v>18</v>
      </c>
      <c r="J9" s="3" t="s">
        <v>19</v>
      </c>
      <c r="K9" s="4" t="s">
        <v>56</v>
      </c>
    </row>
    <row r="10" spans="1:11" x14ac:dyDescent="0.25">
      <c r="A10" s="5">
        <v>8</v>
      </c>
      <c r="B10" s="5">
        <v>2</v>
      </c>
      <c r="C10" s="5" t="s">
        <v>26</v>
      </c>
      <c r="D10" s="5" t="s">
        <v>57</v>
      </c>
      <c r="E10" s="5" t="s">
        <v>28</v>
      </c>
      <c r="F10" s="6" t="s">
        <v>58</v>
      </c>
      <c r="G10" s="6" t="s">
        <v>59</v>
      </c>
      <c r="H10" s="6" t="s">
        <v>60</v>
      </c>
      <c r="I10" s="5" t="s">
        <v>18</v>
      </c>
      <c r="J10" s="5" t="s">
        <v>19</v>
      </c>
      <c r="K10" s="6" t="s">
        <v>61</v>
      </c>
    </row>
    <row r="11" spans="1:11" x14ac:dyDescent="0.25">
      <c r="A11" s="5">
        <v>9</v>
      </c>
      <c r="B11" s="5">
        <v>2</v>
      </c>
      <c r="C11" s="5" t="s">
        <v>26</v>
      </c>
      <c r="D11" s="5" t="s">
        <v>62</v>
      </c>
      <c r="E11" s="5" t="s">
        <v>28</v>
      </c>
      <c r="F11" s="6" t="s">
        <v>63</v>
      </c>
      <c r="G11" s="6" t="s">
        <v>64</v>
      </c>
      <c r="H11" s="6" t="s">
        <v>65</v>
      </c>
      <c r="I11" s="5" t="s">
        <v>18</v>
      </c>
      <c r="J11" s="5" t="s">
        <v>19</v>
      </c>
      <c r="K11" s="6" t="s">
        <v>66</v>
      </c>
    </row>
    <row r="12" spans="1:11" x14ac:dyDescent="0.25">
      <c r="A12" s="5">
        <v>10</v>
      </c>
      <c r="B12" s="5">
        <v>2</v>
      </c>
      <c r="C12" s="5" t="s">
        <v>26</v>
      </c>
      <c r="D12" s="5" t="s">
        <v>67</v>
      </c>
      <c r="E12" s="5" t="s">
        <v>28</v>
      </c>
      <c r="F12" s="6" t="s">
        <v>68</v>
      </c>
      <c r="G12" s="6" t="s">
        <v>69</v>
      </c>
      <c r="H12" s="6" t="s">
        <v>70</v>
      </c>
      <c r="I12" s="5" t="s">
        <v>18</v>
      </c>
      <c r="J12" s="5" t="s">
        <v>19</v>
      </c>
      <c r="K12" s="6" t="s">
        <v>71</v>
      </c>
    </row>
    <row r="13" spans="1:11" x14ac:dyDescent="0.25">
      <c r="A13" s="5">
        <v>11</v>
      </c>
      <c r="B13" s="5">
        <v>2</v>
      </c>
      <c r="C13" s="5" t="s">
        <v>72</v>
      </c>
      <c r="D13" s="5" t="s">
        <v>73</v>
      </c>
      <c r="E13" s="5" t="s">
        <v>46</v>
      </c>
      <c r="F13" s="6" t="s">
        <v>74</v>
      </c>
      <c r="G13" s="6" t="s">
        <v>75</v>
      </c>
      <c r="H13" s="6" t="s">
        <v>76</v>
      </c>
      <c r="I13" s="5" t="s">
        <v>18</v>
      </c>
      <c r="J13" s="5" t="s">
        <v>19</v>
      </c>
      <c r="K13" s="6" t="s">
        <v>77</v>
      </c>
    </row>
    <row r="14" spans="1:11" x14ac:dyDescent="0.25">
      <c r="A14" s="5">
        <v>12</v>
      </c>
      <c r="B14" s="5">
        <v>2</v>
      </c>
      <c r="C14" s="5" t="s">
        <v>72</v>
      </c>
      <c r="D14" s="5" t="s">
        <v>78</v>
      </c>
      <c r="E14" s="5" t="s">
        <v>79</v>
      </c>
      <c r="F14" s="6" t="s">
        <v>80</v>
      </c>
      <c r="G14" s="6" t="s">
        <v>81</v>
      </c>
      <c r="H14" s="6" t="s">
        <v>82</v>
      </c>
      <c r="I14" s="5" t="s">
        <v>18</v>
      </c>
      <c r="J14" s="5" t="s">
        <v>19</v>
      </c>
      <c r="K14" s="6" t="s">
        <v>83</v>
      </c>
    </row>
    <row r="15" spans="1:11" x14ac:dyDescent="0.25">
      <c r="A15" s="5">
        <v>13</v>
      </c>
      <c r="B15" s="5">
        <v>2</v>
      </c>
      <c r="C15" s="5" t="s">
        <v>84</v>
      </c>
      <c r="D15" s="5" t="s">
        <v>85</v>
      </c>
      <c r="E15" s="5" t="s">
        <v>86</v>
      </c>
      <c r="F15" s="6" t="s">
        <v>87</v>
      </c>
      <c r="G15" s="6" t="s">
        <v>88</v>
      </c>
      <c r="H15" s="6" t="s">
        <v>89</v>
      </c>
      <c r="I15" s="5" t="s">
        <v>18</v>
      </c>
      <c r="J15" s="5" t="s">
        <v>19</v>
      </c>
      <c r="K15" s="6" t="s">
        <v>90</v>
      </c>
    </row>
    <row r="16" spans="1:11" x14ac:dyDescent="0.25">
      <c r="A16" s="5">
        <v>14</v>
      </c>
      <c r="B16" s="5">
        <v>2</v>
      </c>
      <c r="C16" s="5" t="s">
        <v>91</v>
      </c>
      <c r="D16" s="5" t="s">
        <v>92</v>
      </c>
      <c r="E16" s="5" t="s">
        <v>93</v>
      </c>
      <c r="F16" s="6" t="s">
        <v>94</v>
      </c>
      <c r="G16" s="6" t="s">
        <v>95</v>
      </c>
      <c r="H16" s="6" t="s">
        <v>96</v>
      </c>
      <c r="I16" s="5" t="s">
        <v>18</v>
      </c>
      <c r="J16" s="5" t="s">
        <v>19</v>
      </c>
      <c r="K16" s="6" t="s">
        <v>97</v>
      </c>
    </row>
    <row r="17" spans="1:11" x14ac:dyDescent="0.25">
      <c r="A17" s="5">
        <v>15</v>
      </c>
      <c r="B17" s="5">
        <v>2</v>
      </c>
      <c r="C17" s="5" t="s">
        <v>91</v>
      </c>
      <c r="D17" s="5" t="s">
        <v>98</v>
      </c>
      <c r="E17" s="5" t="s">
        <v>99</v>
      </c>
      <c r="F17" s="6" t="s">
        <v>100</v>
      </c>
      <c r="G17" s="6" t="s">
        <v>101</v>
      </c>
      <c r="H17" s="6" t="s">
        <v>102</v>
      </c>
      <c r="I17" s="5" t="s">
        <v>18</v>
      </c>
      <c r="J17" s="5" t="s">
        <v>19</v>
      </c>
      <c r="K17" s="6" t="s">
        <v>103</v>
      </c>
    </row>
    <row r="18" spans="1:11" x14ac:dyDescent="0.25">
      <c r="A18" s="5">
        <v>16</v>
      </c>
      <c r="B18" s="5">
        <v>2</v>
      </c>
      <c r="C18" s="5" t="s">
        <v>104</v>
      </c>
      <c r="D18" s="5" t="s">
        <v>105</v>
      </c>
      <c r="E18" s="5" t="s">
        <v>46</v>
      </c>
      <c r="F18" s="6" t="s">
        <v>106</v>
      </c>
      <c r="G18" s="6" t="s">
        <v>107</v>
      </c>
      <c r="H18" s="6" t="s">
        <v>108</v>
      </c>
      <c r="I18" s="5" t="s">
        <v>18</v>
      </c>
      <c r="J18" s="5" t="s">
        <v>19</v>
      </c>
      <c r="K18" s="6" t="s">
        <v>109</v>
      </c>
    </row>
    <row r="19" spans="1:11" x14ac:dyDescent="0.25">
      <c r="A19" s="5">
        <v>17</v>
      </c>
      <c r="B19" s="5">
        <v>2</v>
      </c>
      <c r="C19" s="5" t="s">
        <v>51</v>
      </c>
      <c r="D19" s="5" t="s">
        <v>110</v>
      </c>
      <c r="E19" s="5" t="s">
        <v>46</v>
      </c>
      <c r="F19" s="6" t="s">
        <v>111</v>
      </c>
      <c r="G19" s="6" t="s">
        <v>112</v>
      </c>
      <c r="H19" s="6" t="s">
        <v>113</v>
      </c>
      <c r="I19" s="5" t="s">
        <v>18</v>
      </c>
      <c r="J19" s="5" t="s">
        <v>19</v>
      </c>
      <c r="K19" s="6" t="s">
        <v>114</v>
      </c>
    </row>
    <row r="20" spans="1:11" x14ac:dyDescent="0.25">
      <c r="A20" s="5">
        <v>18</v>
      </c>
      <c r="B20" s="5">
        <v>2</v>
      </c>
      <c r="C20" s="5" t="s">
        <v>51</v>
      </c>
      <c r="D20" s="5" t="s">
        <v>115</v>
      </c>
      <c r="E20" s="5" t="s">
        <v>46</v>
      </c>
      <c r="F20" s="6" t="s">
        <v>116</v>
      </c>
      <c r="G20" s="6" t="s">
        <v>117</v>
      </c>
      <c r="H20" s="6" t="s">
        <v>118</v>
      </c>
      <c r="I20" s="5" t="s">
        <v>18</v>
      </c>
      <c r="J20" s="5" t="s">
        <v>19</v>
      </c>
      <c r="K20" s="6" t="s">
        <v>119</v>
      </c>
    </row>
    <row r="21" spans="1:11" x14ac:dyDescent="0.25">
      <c r="A21" s="5">
        <v>19</v>
      </c>
      <c r="B21" s="5">
        <v>2</v>
      </c>
      <c r="C21" s="5" t="s">
        <v>12</v>
      </c>
      <c r="D21" s="5" t="s">
        <v>120</v>
      </c>
      <c r="E21" s="5" t="s">
        <v>14</v>
      </c>
      <c r="F21" s="6" t="s">
        <v>121</v>
      </c>
      <c r="G21" s="6" t="s">
        <v>122</v>
      </c>
      <c r="H21" s="6" t="s">
        <v>123</v>
      </c>
      <c r="I21" s="5" t="s">
        <v>18</v>
      </c>
      <c r="J21" s="5" t="s">
        <v>19</v>
      </c>
      <c r="K21" s="6" t="s">
        <v>124</v>
      </c>
    </row>
    <row r="22" spans="1:11" x14ac:dyDescent="0.25">
      <c r="A22" s="7">
        <v>20</v>
      </c>
      <c r="B22" s="7">
        <v>3</v>
      </c>
      <c r="C22" s="7" t="s">
        <v>26</v>
      </c>
      <c r="D22" s="7" t="s">
        <v>125</v>
      </c>
      <c r="E22" s="7" t="s">
        <v>28</v>
      </c>
      <c r="F22" s="8" t="s">
        <v>126</v>
      </c>
      <c r="G22" s="8" t="s">
        <v>127</v>
      </c>
      <c r="H22" s="8" t="s">
        <v>128</v>
      </c>
      <c r="I22" s="7" t="s">
        <v>18</v>
      </c>
      <c r="J22" s="7" t="s">
        <v>19</v>
      </c>
      <c r="K22" s="8" t="s">
        <v>129</v>
      </c>
    </row>
    <row r="23" spans="1:11" x14ac:dyDescent="0.25">
      <c r="A23" s="7">
        <v>21</v>
      </c>
      <c r="B23" s="7">
        <v>3</v>
      </c>
      <c r="C23" s="7" t="s">
        <v>26</v>
      </c>
      <c r="D23" s="7" t="s">
        <v>130</v>
      </c>
      <c r="E23" s="7" t="s">
        <v>28</v>
      </c>
      <c r="F23" s="8" t="s">
        <v>131</v>
      </c>
      <c r="G23" s="8" t="s">
        <v>132</v>
      </c>
      <c r="H23" s="8" t="s">
        <v>133</v>
      </c>
      <c r="I23" s="7" t="s">
        <v>18</v>
      </c>
      <c r="J23" s="7" t="s">
        <v>19</v>
      </c>
      <c r="K23" s="8" t="s">
        <v>134</v>
      </c>
    </row>
    <row r="24" spans="1:11" x14ac:dyDescent="0.25">
      <c r="A24" s="7">
        <v>22</v>
      </c>
      <c r="B24" s="7">
        <v>3</v>
      </c>
      <c r="C24" s="7" t="s">
        <v>26</v>
      </c>
      <c r="D24" s="7" t="s">
        <v>135</v>
      </c>
      <c r="E24" s="7" t="s">
        <v>28</v>
      </c>
      <c r="F24" s="8" t="s">
        <v>136</v>
      </c>
      <c r="G24" s="8" t="s">
        <v>137</v>
      </c>
      <c r="H24" s="8" t="s">
        <v>138</v>
      </c>
      <c r="I24" s="7" t="s">
        <v>18</v>
      </c>
      <c r="J24" s="7" t="s">
        <v>19</v>
      </c>
      <c r="K24" s="8" t="s">
        <v>139</v>
      </c>
    </row>
    <row r="25" spans="1:11" x14ac:dyDescent="0.25">
      <c r="A25" s="7">
        <v>23</v>
      </c>
      <c r="B25" s="7">
        <v>3</v>
      </c>
      <c r="C25" s="7" t="s">
        <v>26</v>
      </c>
      <c r="D25" s="7" t="s">
        <v>140</v>
      </c>
      <c r="E25" s="7" t="s">
        <v>28</v>
      </c>
      <c r="F25" s="8" t="s">
        <v>131</v>
      </c>
      <c r="G25" s="8" t="s">
        <v>141</v>
      </c>
      <c r="H25" s="8" t="s">
        <v>142</v>
      </c>
      <c r="I25" s="7" t="s">
        <v>18</v>
      </c>
      <c r="J25" s="7" t="s">
        <v>19</v>
      </c>
      <c r="K25" s="8" t="s">
        <v>143</v>
      </c>
    </row>
    <row r="26" spans="1:11" x14ac:dyDescent="0.25">
      <c r="A26" s="7">
        <v>24</v>
      </c>
      <c r="B26" s="7">
        <v>3</v>
      </c>
      <c r="C26" s="7" t="s">
        <v>84</v>
      </c>
      <c r="D26" s="7" t="s">
        <v>144</v>
      </c>
      <c r="E26" s="7" t="s">
        <v>86</v>
      </c>
      <c r="F26" s="8" t="s">
        <v>145</v>
      </c>
      <c r="G26" s="8" t="s">
        <v>146</v>
      </c>
      <c r="H26" s="8" t="s">
        <v>147</v>
      </c>
      <c r="I26" s="7" t="s">
        <v>18</v>
      </c>
      <c r="J26" s="7" t="s">
        <v>19</v>
      </c>
      <c r="K26" s="8" t="s">
        <v>148</v>
      </c>
    </row>
    <row r="27" spans="1:11" x14ac:dyDescent="0.25">
      <c r="A27" s="7">
        <v>25</v>
      </c>
      <c r="B27" s="7">
        <v>3</v>
      </c>
      <c r="C27" s="7" t="s">
        <v>84</v>
      </c>
      <c r="D27" s="7" t="s">
        <v>149</v>
      </c>
      <c r="E27" s="7" t="s">
        <v>150</v>
      </c>
      <c r="F27" s="8" t="s">
        <v>151</v>
      </c>
      <c r="G27" s="8" t="s">
        <v>152</v>
      </c>
      <c r="H27" s="8" t="s">
        <v>153</v>
      </c>
      <c r="I27" s="7" t="s">
        <v>18</v>
      </c>
      <c r="J27" s="7" t="s">
        <v>19</v>
      </c>
      <c r="K27" s="8" t="s">
        <v>154</v>
      </c>
    </row>
    <row r="28" spans="1:11" x14ac:dyDescent="0.25">
      <c r="A28" s="7">
        <v>26</v>
      </c>
      <c r="B28" s="7">
        <v>3</v>
      </c>
      <c r="C28" s="7" t="s">
        <v>91</v>
      </c>
      <c r="D28" s="7" t="s">
        <v>155</v>
      </c>
      <c r="E28" s="7" t="s">
        <v>93</v>
      </c>
      <c r="F28" s="8" t="s">
        <v>156</v>
      </c>
      <c r="G28" s="8" t="s">
        <v>157</v>
      </c>
      <c r="H28" s="8" t="s">
        <v>158</v>
      </c>
      <c r="I28" s="7" t="s">
        <v>18</v>
      </c>
      <c r="J28" s="7" t="s">
        <v>19</v>
      </c>
      <c r="K28" s="8" t="s">
        <v>159</v>
      </c>
    </row>
    <row r="29" spans="1:11" x14ac:dyDescent="0.25">
      <c r="A29" s="7">
        <v>27</v>
      </c>
      <c r="B29" s="7">
        <v>3</v>
      </c>
      <c r="C29" s="7" t="s">
        <v>91</v>
      </c>
      <c r="D29" s="7" t="s">
        <v>160</v>
      </c>
      <c r="E29" s="7" t="s">
        <v>93</v>
      </c>
      <c r="F29" s="8" t="s">
        <v>156</v>
      </c>
      <c r="G29" s="8" t="s">
        <v>161</v>
      </c>
      <c r="H29" s="8" t="s">
        <v>162</v>
      </c>
      <c r="I29" s="7" t="s">
        <v>18</v>
      </c>
      <c r="J29" s="7" t="s">
        <v>19</v>
      </c>
      <c r="K29" s="8" t="s">
        <v>163</v>
      </c>
    </row>
    <row r="30" spans="1:11" x14ac:dyDescent="0.25">
      <c r="A30" s="7">
        <v>28</v>
      </c>
      <c r="B30" s="7">
        <v>3</v>
      </c>
      <c r="C30" s="7" t="s">
        <v>104</v>
      </c>
      <c r="D30" s="7" t="s">
        <v>164</v>
      </c>
      <c r="E30" s="7" t="s">
        <v>46</v>
      </c>
      <c r="F30" s="8" t="s">
        <v>165</v>
      </c>
      <c r="G30" s="8" t="s">
        <v>166</v>
      </c>
      <c r="H30" s="8" t="s">
        <v>167</v>
      </c>
      <c r="I30" s="7" t="s">
        <v>18</v>
      </c>
      <c r="J30" s="7" t="s">
        <v>19</v>
      </c>
      <c r="K30" s="8" t="s">
        <v>168</v>
      </c>
    </row>
    <row r="31" spans="1:11" x14ac:dyDescent="0.25">
      <c r="A31" s="7">
        <v>29</v>
      </c>
      <c r="B31" s="7">
        <v>3</v>
      </c>
      <c r="C31" s="7" t="s">
        <v>104</v>
      </c>
      <c r="D31" s="7" t="s">
        <v>169</v>
      </c>
      <c r="E31" s="7" t="s">
        <v>46</v>
      </c>
      <c r="F31" s="8" t="s">
        <v>170</v>
      </c>
      <c r="G31" s="8" t="s">
        <v>171</v>
      </c>
      <c r="H31" s="8" t="s">
        <v>172</v>
      </c>
      <c r="I31" s="7" t="s">
        <v>18</v>
      </c>
      <c r="J31" s="7" t="s">
        <v>19</v>
      </c>
      <c r="K31" s="8" t="s">
        <v>173</v>
      </c>
    </row>
    <row r="32" spans="1:11" x14ac:dyDescent="0.25">
      <c r="A32" s="7">
        <v>30</v>
      </c>
      <c r="B32" s="7">
        <v>3</v>
      </c>
      <c r="C32" s="7" t="s">
        <v>51</v>
      </c>
      <c r="D32" s="7" t="s">
        <v>174</v>
      </c>
      <c r="E32" s="7" t="s">
        <v>46</v>
      </c>
      <c r="F32" s="8" t="s">
        <v>175</v>
      </c>
      <c r="G32" s="8" t="s">
        <v>176</v>
      </c>
      <c r="H32" s="8" t="s">
        <v>177</v>
      </c>
      <c r="I32" s="7" t="s">
        <v>18</v>
      </c>
      <c r="J32" s="7" t="s">
        <v>19</v>
      </c>
      <c r="K32" s="8" t="s">
        <v>178</v>
      </c>
    </row>
    <row r="33" spans="1:11" x14ac:dyDescent="0.25">
      <c r="A33" s="9">
        <v>31</v>
      </c>
      <c r="B33" s="9">
        <v>4</v>
      </c>
      <c r="C33" s="9" t="s">
        <v>38</v>
      </c>
      <c r="D33" s="9" t="s">
        <v>179</v>
      </c>
      <c r="E33" s="9" t="s">
        <v>40</v>
      </c>
      <c r="F33" s="10" t="s">
        <v>180</v>
      </c>
      <c r="G33" s="10" t="s">
        <v>181</v>
      </c>
      <c r="H33" s="10" t="s">
        <v>182</v>
      </c>
      <c r="I33" s="9" t="s">
        <v>18</v>
      </c>
      <c r="J33" s="9" t="s">
        <v>19</v>
      </c>
      <c r="K33" s="10" t="s">
        <v>183</v>
      </c>
    </row>
    <row r="34" spans="1:11" x14ac:dyDescent="0.25">
      <c r="A34" s="9">
        <v>32</v>
      </c>
      <c r="B34" s="9">
        <v>4</v>
      </c>
      <c r="C34" s="9" t="s">
        <v>38</v>
      </c>
      <c r="D34" s="9" t="s">
        <v>184</v>
      </c>
      <c r="E34" s="9" t="s">
        <v>40</v>
      </c>
      <c r="F34" s="10" t="s">
        <v>185</v>
      </c>
      <c r="G34" s="10" t="s">
        <v>186</v>
      </c>
      <c r="H34" s="10" t="s">
        <v>187</v>
      </c>
      <c r="I34" s="9" t="s">
        <v>18</v>
      </c>
      <c r="J34" s="9" t="s">
        <v>19</v>
      </c>
      <c r="K34" s="10" t="s">
        <v>188</v>
      </c>
    </row>
    <row r="35" spans="1:11" x14ac:dyDescent="0.25">
      <c r="A35" s="9">
        <v>33</v>
      </c>
      <c r="B35" s="9">
        <v>4</v>
      </c>
      <c r="C35" s="9" t="s">
        <v>189</v>
      </c>
      <c r="D35" s="9" t="s">
        <v>190</v>
      </c>
      <c r="E35" s="9" t="s">
        <v>40</v>
      </c>
      <c r="F35" s="10" t="s">
        <v>191</v>
      </c>
      <c r="G35" s="10" t="s">
        <v>192</v>
      </c>
      <c r="H35" s="10" t="s">
        <v>193</v>
      </c>
      <c r="I35" s="9" t="s">
        <v>18</v>
      </c>
      <c r="J35" s="9" t="s">
        <v>19</v>
      </c>
      <c r="K35" s="10" t="s">
        <v>194</v>
      </c>
    </row>
    <row r="36" spans="1:11" x14ac:dyDescent="0.25">
      <c r="A36" s="9">
        <v>34</v>
      </c>
      <c r="B36" s="9">
        <v>4</v>
      </c>
      <c r="C36" s="9" t="s">
        <v>189</v>
      </c>
      <c r="D36" s="9" t="s">
        <v>195</v>
      </c>
      <c r="E36" s="9" t="s">
        <v>40</v>
      </c>
      <c r="F36" s="10" t="s">
        <v>196</v>
      </c>
      <c r="G36" s="10" t="s">
        <v>197</v>
      </c>
      <c r="H36" s="10" t="s">
        <v>198</v>
      </c>
      <c r="I36" s="9" t="s">
        <v>18</v>
      </c>
      <c r="J36" s="9" t="s">
        <v>19</v>
      </c>
      <c r="K36" s="10" t="s">
        <v>199</v>
      </c>
    </row>
    <row r="37" spans="1:11" x14ac:dyDescent="0.25">
      <c r="A37" s="9">
        <v>35</v>
      </c>
      <c r="B37" s="9">
        <v>4</v>
      </c>
      <c r="C37" s="9" t="s">
        <v>189</v>
      </c>
      <c r="D37" s="9" t="s">
        <v>200</v>
      </c>
      <c r="E37" s="9" t="s">
        <v>40</v>
      </c>
      <c r="F37" s="10" t="s">
        <v>201</v>
      </c>
      <c r="G37" s="10" t="s">
        <v>202</v>
      </c>
      <c r="H37" s="10" t="s">
        <v>203</v>
      </c>
      <c r="I37" s="9" t="s">
        <v>18</v>
      </c>
      <c r="J37" s="9" t="s">
        <v>19</v>
      </c>
      <c r="K37" s="10" t="s">
        <v>204</v>
      </c>
    </row>
    <row r="38" spans="1:11" x14ac:dyDescent="0.25">
      <c r="A38" s="9">
        <v>36</v>
      </c>
      <c r="B38" s="9">
        <v>4</v>
      </c>
      <c r="C38" s="9" t="s">
        <v>84</v>
      </c>
      <c r="D38" s="9" t="s">
        <v>205</v>
      </c>
      <c r="E38" s="9" t="s">
        <v>86</v>
      </c>
      <c r="F38" s="10" t="s">
        <v>206</v>
      </c>
      <c r="G38" s="10" t="s">
        <v>207</v>
      </c>
      <c r="H38" s="10" t="s">
        <v>208</v>
      </c>
      <c r="I38" s="9" t="s">
        <v>18</v>
      </c>
      <c r="J38" s="9" t="s">
        <v>19</v>
      </c>
      <c r="K38" s="10" t="s">
        <v>209</v>
      </c>
    </row>
    <row r="39" spans="1:11" x14ac:dyDescent="0.25">
      <c r="A39" s="9">
        <v>37</v>
      </c>
      <c r="B39" s="9">
        <v>4</v>
      </c>
      <c r="C39" s="9" t="s">
        <v>84</v>
      </c>
      <c r="D39" s="9" t="s">
        <v>210</v>
      </c>
      <c r="E39" s="9" t="s">
        <v>86</v>
      </c>
      <c r="F39" s="10" t="s">
        <v>211</v>
      </c>
      <c r="G39" s="10" t="s">
        <v>212</v>
      </c>
      <c r="H39" s="10" t="s">
        <v>213</v>
      </c>
      <c r="I39" s="9" t="s">
        <v>18</v>
      </c>
      <c r="J39" s="9" t="s">
        <v>19</v>
      </c>
      <c r="K39" s="10" t="s">
        <v>214</v>
      </c>
    </row>
    <row r="40" spans="1:11" x14ac:dyDescent="0.25">
      <c r="A40" s="9">
        <v>38</v>
      </c>
      <c r="B40" s="9">
        <v>4</v>
      </c>
      <c r="C40" s="9" t="s">
        <v>84</v>
      </c>
      <c r="D40" s="9" t="s">
        <v>215</v>
      </c>
      <c r="E40" s="9" t="s">
        <v>86</v>
      </c>
      <c r="F40" s="10" t="s">
        <v>216</v>
      </c>
      <c r="G40" s="10" t="s">
        <v>217</v>
      </c>
      <c r="H40" s="10" t="s">
        <v>218</v>
      </c>
      <c r="I40" s="9" t="s">
        <v>18</v>
      </c>
      <c r="J40" s="9" t="s">
        <v>19</v>
      </c>
      <c r="K40" s="10" t="s">
        <v>219</v>
      </c>
    </row>
    <row r="41" spans="1:11" x14ac:dyDescent="0.25">
      <c r="A41" s="9">
        <v>39</v>
      </c>
      <c r="B41" s="9">
        <v>4</v>
      </c>
      <c r="C41" s="9" t="s">
        <v>220</v>
      </c>
      <c r="D41" s="9" t="s">
        <v>221</v>
      </c>
      <c r="E41" s="9" t="s">
        <v>79</v>
      </c>
      <c r="F41" s="10" t="s">
        <v>222</v>
      </c>
      <c r="G41" s="10" t="s">
        <v>223</v>
      </c>
      <c r="H41" s="10" t="s">
        <v>224</v>
      </c>
      <c r="I41" s="9" t="s">
        <v>18</v>
      </c>
      <c r="J41" s="9" t="s">
        <v>19</v>
      </c>
      <c r="K41" s="10" t="s">
        <v>225</v>
      </c>
    </row>
    <row r="42" spans="1:11" x14ac:dyDescent="0.25">
      <c r="A42" s="9">
        <v>40</v>
      </c>
      <c r="B42" s="9">
        <v>4</v>
      </c>
      <c r="C42" s="9" t="s">
        <v>26</v>
      </c>
      <c r="D42" s="9" t="s">
        <v>226</v>
      </c>
      <c r="E42" s="9" t="s">
        <v>28</v>
      </c>
      <c r="F42" s="10" t="s">
        <v>131</v>
      </c>
      <c r="G42" s="10" t="s">
        <v>227</v>
      </c>
      <c r="H42" s="10" t="s">
        <v>228</v>
      </c>
      <c r="I42" s="9" t="s">
        <v>18</v>
      </c>
      <c r="J42" s="9" t="s">
        <v>19</v>
      </c>
      <c r="K42" s="10" t="s">
        <v>229</v>
      </c>
    </row>
    <row r="43" spans="1:11" x14ac:dyDescent="0.25">
      <c r="A43" s="9">
        <v>41</v>
      </c>
      <c r="B43" s="9">
        <v>4</v>
      </c>
      <c r="C43" s="9" t="s">
        <v>104</v>
      </c>
      <c r="D43" s="9" t="s">
        <v>230</v>
      </c>
      <c r="E43" s="9" t="s">
        <v>46</v>
      </c>
      <c r="F43" s="10" t="s">
        <v>231</v>
      </c>
      <c r="G43" s="10" t="s">
        <v>232</v>
      </c>
      <c r="H43" s="10" t="s">
        <v>233</v>
      </c>
      <c r="I43" s="9" t="s">
        <v>18</v>
      </c>
      <c r="J43" s="9" t="s">
        <v>19</v>
      </c>
      <c r="K43" s="10" t="s">
        <v>234</v>
      </c>
    </row>
    <row r="44" spans="1:11" x14ac:dyDescent="0.25">
      <c r="A44" s="11">
        <v>42</v>
      </c>
      <c r="B44" s="11">
        <v>5</v>
      </c>
      <c r="C44" s="11" t="s">
        <v>235</v>
      </c>
      <c r="D44" s="11" t="s">
        <v>236</v>
      </c>
      <c r="E44" s="11" t="s">
        <v>237</v>
      </c>
      <c r="F44" s="12" t="s">
        <v>238</v>
      </c>
      <c r="G44" s="12" t="s">
        <v>239</v>
      </c>
      <c r="H44" s="12" t="s">
        <v>240</v>
      </c>
      <c r="I44" s="11" t="s">
        <v>18</v>
      </c>
      <c r="J44" s="11" t="s">
        <v>19</v>
      </c>
      <c r="K44" s="12" t="s">
        <v>241</v>
      </c>
    </row>
    <row r="45" spans="1:11" x14ac:dyDescent="0.25">
      <c r="A45" s="11">
        <v>43</v>
      </c>
      <c r="B45" s="11">
        <v>5</v>
      </c>
      <c r="C45" s="11" t="s">
        <v>235</v>
      </c>
      <c r="D45" s="11" t="s">
        <v>242</v>
      </c>
      <c r="E45" s="11" t="s">
        <v>237</v>
      </c>
      <c r="F45" s="12" t="s">
        <v>238</v>
      </c>
      <c r="G45" s="12" t="s">
        <v>243</v>
      </c>
      <c r="H45" s="12" t="s">
        <v>244</v>
      </c>
      <c r="I45" s="11" t="s">
        <v>18</v>
      </c>
      <c r="J45" s="11" t="s">
        <v>19</v>
      </c>
      <c r="K45" s="12" t="s">
        <v>245</v>
      </c>
    </row>
    <row r="46" spans="1:11" x14ac:dyDescent="0.25">
      <c r="A46" s="11">
        <v>44</v>
      </c>
      <c r="B46" s="11">
        <v>5</v>
      </c>
      <c r="C46" s="11" t="s">
        <v>51</v>
      </c>
      <c r="D46" s="11" t="s">
        <v>246</v>
      </c>
      <c r="E46" s="11" t="s">
        <v>46</v>
      </c>
      <c r="F46" s="12" t="s">
        <v>247</v>
      </c>
      <c r="G46" s="12" t="s">
        <v>248</v>
      </c>
      <c r="H46" s="12" t="s">
        <v>249</v>
      </c>
      <c r="I46" s="11" t="s">
        <v>18</v>
      </c>
      <c r="J46" s="11" t="s">
        <v>19</v>
      </c>
      <c r="K46" s="12" t="s">
        <v>250</v>
      </c>
    </row>
    <row r="47" spans="1:11" x14ac:dyDescent="0.25">
      <c r="A47" s="13">
        <v>45</v>
      </c>
      <c r="B47" s="13">
        <v>6</v>
      </c>
      <c r="C47" s="13" t="s">
        <v>235</v>
      </c>
      <c r="D47" s="13" t="s">
        <v>251</v>
      </c>
      <c r="E47" s="13" t="s">
        <v>237</v>
      </c>
      <c r="F47" s="14" t="s">
        <v>238</v>
      </c>
      <c r="G47" s="14" t="s">
        <v>252</v>
      </c>
      <c r="H47" s="14" t="s">
        <v>253</v>
      </c>
      <c r="I47" s="13" t="s">
        <v>18</v>
      </c>
      <c r="J47" s="13" t="s">
        <v>19</v>
      </c>
      <c r="K47" s="14" t="s">
        <v>254</v>
      </c>
    </row>
    <row r="48" spans="1:11" x14ac:dyDescent="0.25">
      <c r="A48" s="13">
        <v>46</v>
      </c>
      <c r="B48" s="13">
        <v>6</v>
      </c>
      <c r="C48" s="13" t="s">
        <v>26</v>
      </c>
      <c r="D48" s="13" t="s">
        <v>255</v>
      </c>
      <c r="E48" s="13" t="s">
        <v>28</v>
      </c>
      <c r="F48" s="14" t="s">
        <v>256</v>
      </c>
      <c r="G48" s="14" t="s">
        <v>257</v>
      </c>
      <c r="H48" s="14" t="s">
        <v>258</v>
      </c>
      <c r="I48" s="13" t="s">
        <v>18</v>
      </c>
      <c r="J48" s="13" t="s">
        <v>19</v>
      </c>
      <c r="K48" s="14" t="s">
        <v>259</v>
      </c>
    </row>
    <row r="49" spans="1:11" x14ac:dyDescent="0.25">
      <c r="A49" s="13">
        <v>47</v>
      </c>
      <c r="B49" s="13">
        <v>6</v>
      </c>
      <c r="C49" s="13" t="s">
        <v>220</v>
      </c>
      <c r="D49" s="13" t="s">
        <v>260</v>
      </c>
      <c r="E49" s="13" t="s">
        <v>79</v>
      </c>
      <c r="F49" s="14" t="s">
        <v>261</v>
      </c>
      <c r="G49" s="14" t="s">
        <v>262</v>
      </c>
      <c r="H49" s="14" t="s">
        <v>263</v>
      </c>
      <c r="I49" s="13" t="s">
        <v>18</v>
      </c>
      <c r="J49" s="13" t="s">
        <v>19</v>
      </c>
      <c r="K49" s="14" t="s">
        <v>264</v>
      </c>
    </row>
    <row r="50" spans="1:11" x14ac:dyDescent="0.25">
      <c r="A50" s="15">
        <v>48</v>
      </c>
      <c r="B50" s="15">
        <v>7</v>
      </c>
      <c r="C50" s="15" t="s">
        <v>72</v>
      </c>
      <c r="D50" s="15" t="s">
        <v>265</v>
      </c>
      <c r="E50" s="15" t="s">
        <v>46</v>
      </c>
      <c r="F50" s="16" t="s">
        <v>266</v>
      </c>
      <c r="G50" s="16" t="s">
        <v>267</v>
      </c>
      <c r="H50" s="16" t="s">
        <v>268</v>
      </c>
      <c r="I50" s="15" t="s">
        <v>18</v>
      </c>
      <c r="J50" s="15" t="s">
        <v>19</v>
      </c>
      <c r="K50" s="16" t="s">
        <v>269</v>
      </c>
    </row>
    <row r="51" spans="1:11" x14ac:dyDescent="0.25">
      <c r="A51" s="15">
        <v>49</v>
      </c>
      <c r="B51" s="15">
        <v>7</v>
      </c>
      <c r="C51" s="15" t="s">
        <v>72</v>
      </c>
      <c r="D51" s="15" t="s">
        <v>270</v>
      </c>
      <c r="E51" s="15" t="s">
        <v>79</v>
      </c>
      <c r="F51" s="16" t="s">
        <v>271</v>
      </c>
      <c r="G51" s="16" t="s">
        <v>272</v>
      </c>
      <c r="H51" s="16" t="s">
        <v>273</v>
      </c>
      <c r="I51" s="15" t="s">
        <v>18</v>
      </c>
      <c r="J51" s="15" t="s">
        <v>19</v>
      </c>
      <c r="K51" s="16" t="s">
        <v>274</v>
      </c>
    </row>
    <row r="52" spans="1:11" x14ac:dyDescent="0.25">
      <c r="A52" s="15">
        <v>50</v>
      </c>
      <c r="B52" s="15">
        <v>7</v>
      </c>
      <c r="C52" s="15" t="s">
        <v>12</v>
      </c>
      <c r="D52" s="15" t="s">
        <v>275</v>
      </c>
      <c r="E52" s="15" t="s">
        <v>276</v>
      </c>
      <c r="F52" s="16" t="s">
        <v>121</v>
      </c>
      <c r="G52" s="16" t="s">
        <v>277</v>
      </c>
      <c r="H52" s="16" t="s">
        <v>278</v>
      </c>
      <c r="I52" s="15" t="s">
        <v>18</v>
      </c>
      <c r="J52" s="15" t="s">
        <v>19</v>
      </c>
      <c r="K52" s="16" t="s">
        <v>279</v>
      </c>
    </row>
    <row r="53" spans="1:11" x14ac:dyDescent="0.25">
      <c r="A53" s="15">
        <v>51</v>
      </c>
      <c r="B53" s="15">
        <v>7</v>
      </c>
      <c r="C53" s="15" t="s">
        <v>235</v>
      </c>
      <c r="D53" s="15" t="s">
        <v>280</v>
      </c>
      <c r="E53" s="15" t="s">
        <v>281</v>
      </c>
      <c r="F53" s="16" t="s">
        <v>282</v>
      </c>
      <c r="G53" s="16" t="s">
        <v>283</v>
      </c>
      <c r="H53" s="16" t="s">
        <v>284</v>
      </c>
      <c r="I53" s="15" t="s">
        <v>18</v>
      </c>
      <c r="J53" s="15" t="s">
        <v>19</v>
      </c>
      <c r="K53" s="16" t="s">
        <v>285</v>
      </c>
    </row>
    <row r="54" spans="1:11" x14ac:dyDescent="0.25">
      <c r="A54" s="17">
        <v>52</v>
      </c>
      <c r="B54" s="17">
        <v>8</v>
      </c>
      <c r="C54" s="17" t="s">
        <v>235</v>
      </c>
      <c r="D54" s="17" t="s">
        <v>286</v>
      </c>
      <c r="E54" s="17" t="s">
        <v>14</v>
      </c>
      <c r="F54" s="18" t="s">
        <v>287</v>
      </c>
      <c r="G54" s="18" t="s">
        <v>288</v>
      </c>
      <c r="H54" s="18" t="s">
        <v>289</v>
      </c>
      <c r="I54" s="17" t="s">
        <v>18</v>
      </c>
      <c r="J54" s="17" t="s">
        <v>19</v>
      </c>
      <c r="K54" s="18" t="s">
        <v>290</v>
      </c>
    </row>
    <row r="55" spans="1:11" x14ac:dyDescent="0.25">
      <c r="A55" s="17">
        <v>53</v>
      </c>
      <c r="B55" s="17">
        <v>8</v>
      </c>
      <c r="C55" s="17" t="s">
        <v>235</v>
      </c>
      <c r="D55" s="17" t="s">
        <v>291</v>
      </c>
      <c r="E55" s="17" t="s">
        <v>237</v>
      </c>
      <c r="F55" s="18" t="s">
        <v>121</v>
      </c>
      <c r="G55" s="18" t="s">
        <v>292</v>
      </c>
      <c r="H55" s="18" t="s">
        <v>293</v>
      </c>
      <c r="I55" s="17" t="s">
        <v>18</v>
      </c>
      <c r="J55" s="17" t="s">
        <v>19</v>
      </c>
      <c r="K55" s="18" t="s">
        <v>294</v>
      </c>
    </row>
    <row r="56" spans="1:11" x14ac:dyDescent="0.25">
      <c r="A56">
        <v>54</v>
      </c>
      <c r="B56" t="s">
        <v>121</v>
      </c>
      <c r="C56" t="s">
        <v>51</v>
      </c>
      <c r="D56" t="s">
        <v>295</v>
      </c>
      <c r="E56" t="s">
        <v>121</v>
      </c>
      <c r="F56" s="19" t="s">
        <v>296</v>
      </c>
      <c r="G56" s="19" t="s">
        <v>297</v>
      </c>
      <c r="H56" s="19" t="s">
        <v>298</v>
      </c>
      <c r="I56" t="s">
        <v>18</v>
      </c>
      <c r="J56" t="s">
        <v>19</v>
      </c>
      <c r="K56" s="19" t="s">
        <v>299</v>
      </c>
    </row>
    <row r="57" spans="1:11" s="20" customFormat="1" x14ac:dyDescent="0.25">
      <c r="A57" s="20" t="s">
        <v>18</v>
      </c>
      <c r="B57" s="20" t="s">
        <v>18</v>
      </c>
      <c r="C57" s="20" t="s">
        <v>18</v>
      </c>
      <c r="D57" s="20" t="s">
        <v>300</v>
      </c>
      <c r="E57" s="20" t="s">
        <v>18</v>
      </c>
      <c r="F57" s="20" t="s">
        <v>18</v>
      </c>
      <c r="G57" s="20" t="s">
        <v>18</v>
      </c>
      <c r="H57" s="20" t="s">
        <v>18</v>
      </c>
      <c r="I57" s="20" t="s">
        <v>18</v>
      </c>
      <c r="J57" s="20" t="s">
        <v>18</v>
      </c>
      <c r="K57" s="20" t="s">
        <v>301</v>
      </c>
    </row>
    <row r="59" spans="1:11" s="20" customFormat="1" x14ac:dyDescent="0.25">
      <c r="A59" s="20" t="s">
        <v>18</v>
      </c>
      <c r="B59" s="20" t="s">
        <v>18</v>
      </c>
      <c r="C59" s="20" t="s">
        <v>18</v>
      </c>
      <c r="D59" s="20" t="s">
        <v>302</v>
      </c>
      <c r="E59" s="20" t="s">
        <v>18</v>
      </c>
      <c r="F59" s="20" t="s">
        <v>18</v>
      </c>
      <c r="G59" s="20" t="s">
        <v>18</v>
      </c>
      <c r="H59" s="20" t="s">
        <v>18</v>
      </c>
      <c r="I59" s="20" t="s">
        <v>18</v>
      </c>
      <c r="J59" s="20" t="s">
        <v>18</v>
      </c>
      <c r="K59" s="20" t="s">
        <v>18</v>
      </c>
    </row>
    <row r="60" spans="4:7" x14ac:dyDescent="0.25">
      <c r="D60" s="21" t="s">
        <v>303</v>
      </c>
      <c r="E60" s="21" t="s">
        <v>304</v>
      </c>
      <c r="F60" s="21" t="s">
        <v>305</v>
      </c>
      <c r="G60" s="21" t="s">
        <v>2</v>
      </c>
    </row>
    <row r="61" spans="4:7" x14ac:dyDescent="0.25">
      <c r="D61" s="22" t="s">
        <v>306</v>
      </c>
      <c r="E61" t="s">
        <v>307</v>
      </c>
      <c r="F61" s="22" t="s">
        <v>308</v>
      </c>
      <c r="G61" t="s">
        <v>309</v>
      </c>
    </row>
    <row r="62" spans="4:7" x14ac:dyDescent="0.25">
      <c r="D62" s="22" t="s">
        <v>310</v>
      </c>
      <c r="E62" t="s">
        <v>307</v>
      </c>
      <c r="F62" s="22" t="s">
        <v>311</v>
      </c>
      <c r="G62" t="s">
        <v>312</v>
      </c>
    </row>
    <row r="63" spans="4:7" x14ac:dyDescent="0.25">
      <c r="D63" s="22" t="s">
        <v>313</v>
      </c>
      <c r="E63" t="s">
        <v>314</v>
      </c>
      <c r="F63" s="22" t="s">
        <v>315</v>
      </c>
      <c r="G63" t="s">
        <v>316</v>
      </c>
    </row>
    <row r="64" spans="4:7" x14ac:dyDescent="0.25">
      <c r="D64" s="22" t="s">
        <v>317</v>
      </c>
      <c r="E64" t="s">
        <v>318</v>
      </c>
      <c r="F64" s="22" t="s">
        <v>319</v>
      </c>
      <c r="G64" t="s">
        <v>320</v>
      </c>
    </row>
    <row r="65" spans="4:7" x14ac:dyDescent="0.25">
      <c r="D65" s="22" t="s">
        <v>321</v>
      </c>
      <c r="E65" t="s">
        <v>318</v>
      </c>
      <c r="F65" s="22" t="s">
        <v>322</v>
      </c>
      <c r="G65" t="s">
        <v>323</v>
      </c>
    </row>
    <row r="66" spans="4:7" x14ac:dyDescent="0.25">
      <c r="D66" s="22" t="s">
        <v>324</v>
      </c>
      <c r="E66" t="s">
        <v>325</v>
      </c>
      <c r="F66" s="22" t="s">
        <v>326</v>
      </c>
      <c r="G66" t="s">
        <v>327</v>
      </c>
    </row>
    <row r="67" spans="4:7" x14ac:dyDescent="0.25">
      <c r="D67" s="22" t="s">
        <v>328</v>
      </c>
      <c r="E67" t="s">
        <v>329</v>
      </c>
      <c r="F67" s="22" t="s">
        <v>330</v>
      </c>
      <c r="G67" t="s">
        <v>331</v>
      </c>
    </row>
    <row r="68" spans="4:7" x14ac:dyDescent="0.25">
      <c r="D68" s="22" t="s">
        <v>332</v>
      </c>
      <c r="E68" t="s">
        <v>333</v>
      </c>
      <c r="F68" s="22" t="s">
        <v>334</v>
      </c>
      <c r="G68" t="s">
        <v>327</v>
      </c>
    </row>
    <row r="69" spans="4:7" x14ac:dyDescent="0.25">
      <c r="D69" s="22" t="s">
        <v>335</v>
      </c>
      <c r="E69" t="s">
        <v>336</v>
      </c>
      <c r="F69" s="22" t="s">
        <v>337</v>
      </c>
      <c r="G69" t="s">
        <v>338</v>
      </c>
    </row>
    <row r="70" spans="4:7" x14ac:dyDescent="0.25">
      <c r="D70" s="22" t="s">
        <v>339</v>
      </c>
      <c r="E70" t="s">
        <v>307</v>
      </c>
      <c r="F70" s="22" t="s">
        <v>340</v>
      </c>
      <c r="G70" t="s">
        <v>309</v>
      </c>
    </row>
  </sheetData>
  <autoFilter ref="A2:K2"/>
  <mergeCells count="1">
    <mergeCell ref="A1:K1"/>
  </mergeCells>
  <dataValidations count="4">
    <dataValidation type="list" allowBlank="1" sqref="I10:I56">
      <formula1>"Tân,Minh,Nhật,Tuấn"</formula1>
    </dataValidation>
    <dataValidation type="list" allowBlank="1" sqref="I3:I56">
      <formula1>"Tân,Minh,Nhật,Tuấn"</formula1>
    </dataValidation>
    <dataValidation type="list" allowBlank="1" sqref="J10:J56">
      <formula1>"Chưa làm,Đang làm,Xong,Bỏ qua"</formula1>
    </dataValidation>
    <dataValidation type="list" allowBlank="1" sqref="J3:J56">
      <formula1>"Chưa làm,Đang làm,Xong,Bỏ qua"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2" customWidth="1"/>
    <col min="2" max="2" width="14" customWidth="1"/>
    <col min="3" max="10" width="6" customWidth="1"/>
  </cols>
  <sheetData>
    <row r="1" spans="1:10" s="20" customFormat="1" x14ac:dyDescent="0.25">
      <c r="A1" s="20" t="s">
        <v>341</v>
      </c>
      <c r="B1" s="20" t="s">
        <v>342</v>
      </c>
      <c r="C1" s="20" t="s">
        <v>343</v>
      </c>
      <c r="D1" s="20" t="s">
        <v>344</v>
      </c>
      <c r="E1" s="20" t="s">
        <v>345</v>
      </c>
      <c r="F1" s="20" t="s">
        <v>346</v>
      </c>
      <c r="G1" s="20" t="s">
        <v>347</v>
      </c>
      <c r="H1" s="20" t="s">
        <v>348</v>
      </c>
      <c r="I1" s="20" t="s">
        <v>349</v>
      </c>
      <c r="J1" s="20" t="s">
        <v>350</v>
      </c>
    </row>
    <row r="2" spans="1:10" x14ac:dyDescent="0.25">
      <c r="A2" t="s">
        <v>351</v>
      </c>
      <c r="B2">
        <f>SUM(C2:J2)</f>
      </c>
      <c r="C2">
        <f>COUNTIFS('PHÂN CÔNG — 1 TRANG'!$I:$I,$A2,'PHÂN CÔNG — 1 TRANG'!$B:$B,1)</f>
      </c>
      <c r="D2">
        <f>COUNTIFS('PHÂN CÔNG — 1 TRANG'!$I:$I,$A2,'PHÂN CÔNG — 1 TRANG'!$B:$B,2)</f>
      </c>
      <c r="E2">
        <f>COUNTIFS('PHÂN CÔNG — 1 TRANG'!$I:$I,$A2,'PHÂN CÔNG — 1 TRANG'!$B:$B,3)</f>
      </c>
      <c r="F2">
        <f>COUNTIFS('PHÂN CÔNG — 1 TRANG'!$I:$I,$A2,'PHÂN CÔNG — 1 TRANG'!$B:$B,4)</f>
      </c>
      <c r="G2">
        <f>COUNTIFS('PHÂN CÔNG — 1 TRANG'!$I:$I,$A2,'PHÂN CÔNG — 1 TRANG'!$B:$B,5)</f>
      </c>
      <c r="H2">
        <f>COUNTIFS('PHÂN CÔNG — 1 TRANG'!$I:$I,$A2,'PHÂN CÔNG — 1 TRANG'!$B:$B,6)</f>
      </c>
      <c r="I2">
        <f>COUNTIFS('PHÂN CÔNG — 1 TRANG'!$I:$I,$A2,'PHÂN CÔNG — 1 TRANG'!$B:$B,7)</f>
      </c>
      <c r="J2">
        <f>COUNTIFS('PHÂN CÔNG — 1 TRANG'!$I:$I,$A2,'PHÂN CÔNG — 1 TRANG'!$B:$B,8)</f>
      </c>
    </row>
    <row r="3" spans="1:10" x14ac:dyDescent="0.25">
      <c r="A3" t="s">
        <v>352</v>
      </c>
      <c r="B3">
        <f>SUM(C3:J3)</f>
      </c>
      <c r="C3">
        <f>COUNTIFS('PHÂN CÔNG — 1 TRANG'!$I:$I,$A3,'PHÂN CÔNG — 1 TRANG'!$B:$B,1)</f>
      </c>
      <c r="D3">
        <f>COUNTIFS('PHÂN CÔNG — 1 TRANG'!$I:$I,$A3,'PHÂN CÔNG — 1 TRANG'!$B:$B,2)</f>
      </c>
      <c r="E3">
        <f>COUNTIFS('PHÂN CÔNG — 1 TRANG'!$I:$I,$A3,'PHÂN CÔNG — 1 TRANG'!$B:$B,3)</f>
      </c>
      <c r="F3">
        <f>COUNTIFS('PHÂN CÔNG — 1 TRANG'!$I:$I,$A3,'PHÂN CÔNG — 1 TRANG'!$B:$B,4)</f>
      </c>
      <c r="G3">
        <f>COUNTIFS('PHÂN CÔNG — 1 TRANG'!$I:$I,$A3,'PHÂN CÔNG — 1 TRANG'!$B:$B,5)</f>
      </c>
      <c r="H3">
        <f>COUNTIFS('PHÂN CÔNG — 1 TRANG'!$I:$I,$A3,'PHÂN CÔNG — 1 TRANG'!$B:$B,6)</f>
      </c>
      <c r="I3">
        <f>COUNTIFS('PHÂN CÔNG — 1 TRANG'!$I:$I,$A3,'PHÂN CÔNG — 1 TRANG'!$B:$B,7)</f>
      </c>
      <c r="J3">
        <f>COUNTIFS('PHÂN CÔNG — 1 TRANG'!$I:$I,$A3,'PHÂN CÔNG — 1 TRANG'!$B:$B,8)</f>
      </c>
    </row>
    <row r="4" spans="1:10" x14ac:dyDescent="0.25">
      <c r="A4" t="s">
        <v>353</v>
      </c>
      <c r="B4">
        <f>SUM(C4:J4)</f>
      </c>
      <c r="C4">
        <f>COUNTIFS('PHÂN CÔNG — 1 TRANG'!$I:$I,$A4,'PHÂN CÔNG — 1 TRANG'!$B:$B,1)</f>
      </c>
      <c r="D4">
        <f>COUNTIFS('PHÂN CÔNG — 1 TRANG'!$I:$I,$A4,'PHÂN CÔNG — 1 TRANG'!$B:$B,2)</f>
      </c>
      <c r="E4">
        <f>COUNTIFS('PHÂN CÔNG — 1 TRANG'!$I:$I,$A4,'PHÂN CÔNG — 1 TRANG'!$B:$B,3)</f>
      </c>
      <c r="F4">
        <f>COUNTIFS('PHÂN CÔNG — 1 TRANG'!$I:$I,$A4,'PHÂN CÔNG — 1 TRANG'!$B:$B,4)</f>
      </c>
      <c r="G4">
        <f>COUNTIFS('PHÂN CÔNG — 1 TRANG'!$I:$I,$A4,'PHÂN CÔNG — 1 TRANG'!$B:$B,5)</f>
      </c>
      <c r="H4">
        <f>COUNTIFS('PHÂN CÔNG — 1 TRANG'!$I:$I,$A4,'PHÂN CÔNG — 1 TRANG'!$B:$B,6)</f>
      </c>
      <c r="I4">
        <f>COUNTIFS('PHÂN CÔNG — 1 TRANG'!$I:$I,$A4,'PHÂN CÔNG — 1 TRANG'!$B:$B,7)</f>
      </c>
      <c r="J4">
        <f>COUNTIFS('PHÂN CÔNG — 1 TRANG'!$I:$I,$A4,'PHÂN CÔNG — 1 TRANG'!$B:$B,8)</f>
      </c>
    </row>
    <row r="5" spans="1:10" x14ac:dyDescent="0.25">
      <c r="A5" t="s">
        <v>354</v>
      </c>
      <c r="B5">
        <f>SUM(C5:J5)</f>
      </c>
      <c r="C5">
        <f>COUNTIFS('PHÂN CÔNG — 1 TRANG'!$I:$I,$A5,'PHÂN CÔNG — 1 TRANG'!$B:$B,1)</f>
      </c>
      <c r="D5">
        <f>COUNTIFS('PHÂN CÔNG — 1 TRANG'!$I:$I,$A5,'PHÂN CÔNG — 1 TRANG'!$B:$B,2)</f>
      </c>
      <c r="E5">
        <f>COUNTIFS('PHÂN CÔNG — 1 TRANG'!$I:$I,$A5,'PHÂN CÔNG — 1 TRANG'!$B:$B,3)</f>
      </c>
      <c r="F5">
        <f>COUNTIFS('PHÂN CÔNG — 1 TRANG'!$I:$I,$A5,'PHÂN CÔNG — 1 TRANG'!$B:$B,4)</f>
      </c>
      <c r="G5">
        <f>COUNTIFS('PHÂN CÔNG — 1 TRANG'!$I:$I,$A5,'PHÂN CÔNG — 1 TRANG'!$B:$B,5)</f>
      </c>
      <c r="H5">
        <f>COUNTIFS('PHÂN CÔNG — 1 TRANG'!$I:$I,$A5,'PHÂN CÔNG — 1 TRANG'!$B:$B,6)</f>
      </c>
      <c r="I5">
        <f>COUNTIFS('PHÂN CÔNG — 1 TRANG'!$I:$I,$A5,'PHÂN CÔNG — 1 TRANG'!$B:$B,7)</f>
      </c>
      <c r="J5">
        <f>COUNTIFS('PHÂN CÔNG — 1 TRANG'!$I:$I,$A5,'PHÂN CÔNG — 1 TRANG'!$B:$B,8)</f>
      </c>
    </row>
    <row r="7" spans="1:2" x14ac:dyDescent="0.25">
      <c r="A7" t="s">
        <v>355</v>
      </c>
      <c r="B7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CÔNG — 1 TRANG</vt:lpstr>
      <vt:lpstr>Tải 4 người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2026-09-26T18:52:19Z</dcterms:created>
  <dcterms:modified xsi:type="dcterms:W3CDTF">2026-09-26T18:52:19Z</dcterms:modified>
</cp:coreProperties>
</file>